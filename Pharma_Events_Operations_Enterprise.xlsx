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Executive" sheetId="1" state="visible" r:id="rId1"/>
    <sheet name="Event Master Database" sheetId="2" state="visible" r:id="rId2"/>
    <sheet name="Budget Planning" sheetId="3" state="visible" r:id="rId3"/>
    <sheet name="Supplier Management" sheetId="4" state="visible" r:id="rId4"/>
    <sheet name="Cost Control" sheetId="5" state="visible" r:id="rId5"/>
    <sheet name="PO Tracking" sheetId="6" state="visible" r:id="rId6"/>
    <sheet name="Executive Reporting" sheetId="7" state="visible" r:id="rId7"/>
    <sheet name="Document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 &quot;€&quot;"/>
    <numFmt numFmtId="165" formatCode="0.0%"/>
    <numFmt numFmtId="166" formatCode="#,##0 &quot;€&quot;"/>
    <numFmt numFmtId="167" formatCode="yyyy-mm-dd"/>
    <numFmt numFmtId="168" formatCode="DD/MM/YYYY"/>
  </numFmts>
  <fonts count="2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1F3864"/>
      <sz val="13"/>
    </font>
    <font>
      <name val="Calibri"/>
      <b val="1"/>
      <color rgb="00C00000"/>
      <sz val="13"/>
    </font>
    <font>
      <name val="Calibri"/>
      <b val="1"/>
      <color rgb="001F3864"/>
      <sz val="15"/>
    </font>
    <font>
      <name val="Calibri"/>
      <b val="1"/>
      <color rgb="001F3864"/>
      <sz val="11"/>
    </font>
    <font>
      <name val="Calibri"/>
      <b val="1"/>
      <color rgb="00FFFFFF"/>
      <sz val="10"/>
    </font>
    <font>
      <name val="Calibri"/>
      <color rgb="00404040"/>
      <sz val="10"/>
    </font>
    <font>
      <name val="Calibri"/>
      <b val="1"/>
      <color rgb="00C55A11"/>
      <sz val="10"/>
    </font>
    <font>
      <name val="Calibri"/>
      <b val="1"/>
      <color rgb="0070AD47"/>
      <sz val="10"/>
    </font>
    <font>
      <name val="Calibri"/>
      <b val="1"/>
      <color rgb="00375623"/>
      <sz val="10"/>
    </font>
    <font>
      <name val="Calibri"/>
      <b val="1"/>
      <color rgb="00404040"/>
      <sz val="10"/>
    </font>
    <font>
      <name val="Calibri"/>
      <b val="1"/>
      <color rgb="0000B0F0"/>
      <sz val="10"/>
    </font>
    <font>
      <name val="Calibri"/>
      <b val="1"/>
      <color rgb="00C00000"/>
      <sz val="10"/>
    </font>
    <font>
      <name val="Calibri"/>
      <b val="1"/>
      <color rgb="005B9BD5"/>
      <sz val="10"/>
    </font>
    <font>
      <name val="Calibri"/>
      <b val="1"/>
      <color rgb="007F7F7F"/>
      <sz val="10"/>
    </font>
    <font>
      <name val="Calibri"/>
      <color rgb="00000000"/>
      <sz val="10"/>
    </font>
    <font>
      <name val="Calibri"/>
      <b val="1"/>
      <color rgb="002E75B6"/>
      <sz val="10"/>
    </font>
    <font>
      <name val="Calibri"/>
      <b val="1"/>
      <color rgb="00BF8F00"/>
      <sz val="10"/>
    </font>
    <font>
      <name val="Calibri"/>
      <b val="1"/>
      <color rgb="00FFFFFF"/>
      <sz val="12"/>
    </font>
    <font>
      <name val="Calibri"/>
      <b val="1"/>
      <color rgb="00FFFFFF"/>
      <sz val="14"/>
    </font>
    <font>
      <name val="Calibri"/>
      <b val="1"/>
      <color rgb="00000000"/>
      <sz val="10"/>
    </font>
    <font>
      <name val="Calibri"/>
      <i val="1"/>
      <color rgb="007F7F7F"/>
      <sz val="10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C55A11"/>
      </patternFill>
    </fill>
    <fill>
      <patternFill patternType="solid">
        <fgColor rgb="00F2F2F2"/>
      </patternFill>
    </fill>
    <fill>
      <patternFill patternType="solid">
        <fgColor rgb="00BF8F00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00B0F0"/>
      </patternFill>
    </fill>
    <fill>
      <patternFill patternType="solid">
        <fgColor rgb="005B9BD5"/>
      </patternFill>
    </fill>
    <fill>
      <patternFill patternType="solid">
        <fgColor rgb="007F7F7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404040"/>
      </patternFill>
    </fill>
    <fill>
      <patternFill patternType="solid">
        <fgColor rgb="00FFE0E0"/>
      </patternFill>
    </fill>
  </fills>
  <borders count="16">
    <border>
      <left/>
      <right/>
      <top/>
      <bottom/>
      <diagonal/>
    </border>
    <border>
      <left style="medium">
        <color rgb="00BDD7EE"/>
      </left>
      <right style="medium">
        <color rgb="00BDD7EE"/>
      </right>
      <top style="medium">
        <color rgb="00BDD7EE"/>
      </top>
      <bottom style="medium">
        <color rgb="00BDD7EE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medium">
        <color rgb="00D6D6D6"/>
      </left>
      <right style="medium">
        <color rgb="00D6D6D6"/>
      </right>
      <top style="medium">
        <color rgb="00D6D6D6"/>
      </top>
      <bottom style="medium">
        <color rgb="00D6D6D6"/>
      </bottom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D6D6D6"/>
      </left>
      <right style="thin">
        <color rgb="00D6D6D6"/>
      </right>
      <top style="thin">
        <color rgb="00D6D6D6"/>
      </top>
      <bottom style="thin">
        <color rgb="00D6D6D6"/>
      </bottom>
    </border>
    <border>
      <left/>
      <right/>
      <top style="thin">
        <color rgb="001F3864"/>
      </top>
      <bottom/>
      <diagonal/>
    </border>
    <border>
      <left/>
      <right style="thin">
        <color rgb="001F3864"/>
      </right>
      <top style="thin">
        <color rgb="001F3864"/>
      </top>
      <bottom/>
      <diagonal/>
    </border>
    <border>
      <left/>
      <right/>
      <top style="thin">
        <color rgb="001F3864"/>
      </top>
      <bottom style="thin">
        <color rgb="001F3864"/>
      </bottom>
      <diagonal/>
    </border>
    <border>
      <left/>
      <right style="thin">
        <color rgb="001F3864"/>
      </right>
      <top style="thin">
        <color rgb="001F3864"/>
      </top>
      <bottom style="thin">
        <color rgb="001F3864"/>
      </bottom>
      <diagonal/>
    </border>
    <border>
      <left/>
      <right/>
      <top style="thin">
        <color rgb="00D6D6D6"/>
      </top>
      <bottom/>
      <diagonal/>
    </border>
    <border>
      <left/>
      <right style="thin">
        <color rgb="00D6D6D6"/>
      </right>
      <top style="thin">
        <color rgb="00D6D6D6"/>
      </top>
      <bottom/>
      <diagonal/>
    </border>
    <border>
      <left/>
      <right/>
      <top style="thin">
        <color rgb="00D6D6D6"/>
      </top>
      <bottom style="thin">
        <color rgb="00D6D6D6"/>
      </bottom>
      <diagonal/>
    </border>
    <border>
      <left/>
      <right style="thin">
        <color rgb="00D6D6D6"/>
      </right>
      <top style="thin">
        <color rgb="00D6D6D6"/>
      </top>
      <bottom style="thin">
        <color rgb="00D6D6D6"/>
      </bottom>
      <diagonal/>
    </border>
  </borders>
  <cellStyleXfs count="1">
    <xf numFmtId="0" fontId="0" fillId="0" borderId="0"/>
  </cellStyleXfs>
  <cellXfs count="1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164" fontId="5" fillId="4" borderId="2" applyAlignment="1" pivotButton="0" quotePrefix="0" xfId="0">
      <alignment horizontal="center" vertical="center"/>
    </xf>
    <xf numFmtId="165" fontId="6" fillId="4" borderId="2" applyAlignment="1" pivotButton="0" quotePrefix="0" xfId="0">
      <alignment horizontal="center" vertical="center"/>
    </xf>
    <xf numFmtId="3" fontId="7" fillId="4" borderId="2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9" borderId="3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3" fontId="5" fillId="6" borderId="4" applyAlignment="1" pivotButton="0" quotePrefix="0" xfId="0">
      <alignment horizontal="center" vertical="center"/>
    </xf>
    <xf numFmtId="165" fontId="8" fillId="6" borderId="4" applyAlignment="1" pivotButton="0" quotePrefix="0" xfId="0">
      <alignment horizontal="center" vertical="center"/>
    </xf>
    <xf numFmtId="164" fontId="8" fillId="6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0" fillId="4" borderId="6" applyAlignment="1" pivotButton="0" quotePrefix="0" xfId="0">
      <alignment horizontal="center" vertical="center"/>
    </xf>
    <xf numFmtId="166" fontId="10" fillId="4" borderId="6" applyAlignment="1" pivotButton="0" quotePrefix="0" xfId="0">
      <alignment horizontal="center" vertical="center"/>
    </xf>
    <xf numFmtId="165" fontId="11" fillId="4" borderId="6" applyAlignment="1" pivotButton="0" quotePrefix="0" xfId="0">
      <alignment horizontal="center" vertical="center"/>
    </xf>
    <xf numFmtId="0" fontId="11" fillId="4" borderId="6" applyAlignment="1" pivotButton="0" quotePrefix="0" xfId="0">
      <alignment horizontal="center" vertical="center"/>
    </xf>
    <xf numFmtId="0" fontId="10" fillId="4" borderId="6" applyAlignment="1" pivotButton="0" quotePrefix="0" xfId="0">
      <alignment horizontal="left" vertical="center"/>
    </xf>
    <xf numFmtId="0" fontId="10" fillId="10" borderId="6" applyAlignment="1" pivotButton="0" quotePrefix="0" xfId="0">
      <alignment horizontal="center" vertical="center"/>
    </xf>
    <xf numFmtId="166" fontId="10" fillId="10" borderId="6" applyAlignment="1" pivotButton="0" quotePrefix="0" xfId="0">
      <alignment horizontal="center" vertical="center"/>
    </xf>
    <xf numFmtId="165" fontId="11" fillId="10" borderId="6" applyAlignment="1" pivotButton="0" quotePrefix="0" xfId="0">
      <alignment horizontal="center" vertical="center"/>
    </xf>
    <xf numFmtId="0" fontId="12" fillId="10" borderId="6" applyAlignment="1" pivotButton="0" quotePrefix="0" xfId="0">
      <alignment horizontal="center" vertical="center"/>
    </xf>
    <xf numFmtId="0" fontId="10" fillId="10" borderId="6" applyAlignment="1" pivotButton="0" quotePrefix="0" xfId="0">
      <alignment horizontal="left" vertical="center"/>
    </xf>
    <xf numFmtId="165" fontId="12" fillId="10" borderId="6" applyAlignment="1" pivotButton="0" quotePrefix="0" xfId="0">
      <alignment horizontal="center" vertical="center"/>
    </xf>
    <xf numFmtId="165" fontId="12" fillId="4" borderId="6" applyAlignment="1" pivotButton="0" quotePrefix="0" xfId="0">
      <alignment horizontal="center" vertical="center"/>
    </xf>
    <xf numFmtId="0" fontId="11" fillId="10" borderId="6" applyAlignment="1" pivotButton="0" quotePrefix="0" xfId="0">
      <alignment horizontal="center" vertical="center"/>
    </xf>
    <xf numFmtId="0" fontId="12" fillId="4" borderId="6" applyAlignment="1" pivotButton="0" quotePrefix="0" xfId="0">
      <alignment horizontal="center" vertical="center"/>
    </xf>
    <xf numFmtId="0" fontId="13" fillId="4" borderId="6" applyAlignment="1" pivotButton="0" quotePrefix="0" xfId="0">
      <alignment horizontal="left" vertical="center"/>
    </xf>
    <xf numFmtId="0" fontId="14" fillId="4" borderId="6" applyAlignment="1" pivotButton="0" quotePrefix="0" xfId="0">
      <alignment horizontal="center" vertical="center"/>
    </xf>
    <xf numFmtId="165" fontId="10" fillId="4" borderId="6" applyAlignment="1" pivotButton="0" quotePrefix="0" xfId="0">
      <alignment horizontal="center" vertical="center"/>
    </xf>
    <xf numFmtId="0" fontId="16" fillId="4" borderId="6" applyAlignment="1" pivotButton="0" quotePrefix="0" xfId="0">
      <alignment horizontal="center" vertical="center"/>
    </xf>
    <xf numFmtId="0" fontId="15" fillId="10" borderId="6" applyAlignment="1" pivotButton="0" quotePrefix="0" xfId="0">
      <alignment horizontal="left" vertical="center"/>
    </xf>
    <xf numFmtId="0" fontId="14" fillId="10" borderId="6" applyAlignment="1" pivotButton="0" quotePrefix="0" xfId="0">
      <alignment horizontal="center" vertical="center"/>
    </xf>
    <xf numFmtId="165" fontId="10" fillId="10" borderId="6" applyAlignment="1" pivotButton="0" quotePrefix="0" xfId="0">
      <alignment horizontal="center" vertical="center"/>
    </xf>
    <xf numFmtId="0" fontId="16" fillId="10" borderId="6" applyAlignment="1" pivotButton="0" quotePrefix="0" xfId="0">
      <alignment horizontal="center" vertical="center"/>
    </xf>
    <xf numFmtId="0" fontId="16" fillId="4" borderId="6" applyAlignment="1" pivotButton="0" quotePrefix="0" xfId="0">
      <alignment horizontal="left" vertical="center"/>
    </xf>
    <xf numFmtId="0" fontId="12" fillId="10" borderId="6" applyAlignment="1" pivotButton="0" quotePrefix="0" xfId="0">
      <alignment horizontal="left" vertical="center"/>
    </xf>
    <xf numFmtId="0" fontId="17" fillId="4" borderId="6" applyAlignment="1" pivotButton="0" quotePrefix="0" xfId="0">
      <alignment horizontal="left" vertical="center"/>
    </xf>
    <xf numFmtId="0" fontId="18" fillId="10" borderId="6" applyAlignment="1" pivotButton="0" quotePrefix="0" xfId="0">
      <alignment horizontal="left" vertical="center"/>
    </xf>
    <xf numFmtId="0" fontId="11" fillId="4" borderId="6" applyAlignment="1" pivotButton="0" quotePrefix="0" xfId="0">
      <alignment horizontal="left" vertical="center"/>
    </xf>
    <xf numFmtId="0" fontId="20" fillId="10" borderId="6" applyAlignment="1" pivotButton="0" quotePrefix="0" xfId="0">
      <alignment horizontal="center" vertical="center"/>
    </xf>
    <xf numFmtId="0" fontId="19" fillId="4" borderId="6" applyAlignment="1" pivotButton="0" quotePrefix="0" xfId="0">
      <alignment horizontal="left" vertical="center"/>
    </xf>
    <xf numFmtId="0" fontId="19" fillId="4" borderId="6" applyAlignment="1" pivotButton="0" quotePrefix="0" xfId="0">
      <alignment horizontal="center" vertical="center"/>
    </xf>
    <xf numFmtId="168" fontId="19" fillId="4" borderId="6" applyAlignment="1" pivotButton="0" quotePrefix="0" xfId="0">
      <alignment horizontal="center" vertical="center"/>
    </xf>
    <xf numFmtId="3" fontId="19" fillId="4" borderId="6" applyAlignment="1" pivotButton="0" quotePrefix="0" xfId="0">
      <alignment horizontal="center" vertical="center"/>
    </xf>
    <xf numFmtId="0" fontId="9" fillId="11" borderId="6" applyAlignment="1" pivotButton="0" quotePrefix="0" xfId="0">
      <alignment horizontal="center" vertical="center"/>
    </xf>
    <xf numFmtId="0" fontId="19" fillId="10" borderId="6" applyAlignment="1" pivotButton="0" quotePrefix="0" xfId="0">
      <alignment horizontal="left" vertical="center"/>
    </xf>
    <xf numFmtId="0" fontId="19" fillId="10" borderId="6" applyAlignment="1" pivotButton="0" quotePrefix="0" xfId="0">
      <alignment horizontal="center" vertical="center"/>
    </xf>
    <xf numFmtId="168" fontId="19" fillId="10" borderId="6" applyAlignment="1" pivotButton="0" quotePrefix="0" xfId="0">
      <alignment horizontal="center" vertical="center"/>
    </xf>
    <xf numFmtId="3" fontId="19" fillId="10" borderId="6" applyAlignment="1" pivotButton="0" quotePrefix="0" xfId="0">
      <alignment horizontal="center" vertical="center"/>
    </xf>
    <xf numFmtId="0" fontId="9" fillId="9" borderId="6" applyAlignment="1" pivotButton="0" quotePrefix="0" xfId="0">
      <alignment horizontal="center" vertical="center"/>
    </xf>
    <xf numFmtId="0" fontId="9" fillId="8" borderId="6" applyAlignment="1" pivotButton="0" quotePrefix="0" xfId="0">
      <alignment horizontal="center" vertical="center"/>
    </xf>
    <xf numFmtId="0" fontId="9" fillId="12" borderId="6" applyAlignment="1" pivotButton="0" quotePrefix="0" xfId="0">
      <alignment horizontal="center" vertical="center"/>
    </xf>
    <xf numFmtId="0" fontId="9" fillId="13" borderId="6" applyAlignment="1" pivotButton="0" quotePrefix="0" xfId="0">
      <alignment horizontal="center" vertical="center"/>
    </xf>
    <xf numFmtId="0" fontId="9" fillId="14" borderId="6" applyAlignment="1" pivotButton="0" quotePrefix="0" xfId="0">
      <alignment horizontal="center" vertical="center"/>
    </xf>
    <xf numFmtId="0" fontId="9" fillId="5" borderId="6" applyAlignment="1" pivotButton="0" quotePrefix="0" xfId="0">
      <alignment horizontal="center" vertical="center"/>
    </xf>
    <xf numFmtId="0" fontId="4" fillId="11" borderId="5" applyAlignment="1" pivotButton="0" quotePrefix="0" xfId="0">
      <alignment horizontal="center" vertical="center" wrapText="1"/>
    </xf>
    <xf numFmtId="0" fontId="20" fillId="10" borderId="7" applyAlignment="1" pivotButton="0" quotePrefix="0" xfId="0">
      <alignment horizontal="center" vertical="center"/>
    </xf>
    <xf numFmtId="0" fontId="19" fillId="15" borderId="7" applyAlignment="1" pivotButton="0" quotePrefix="0" xfId="0">
      <alignment horizontal="left" vertical="center"/>
    </xf>
    <xf numFmtId="0" fontId="19" fillId="15" borderId="7" applyAlignment="1" pivotButton="0" quotePrefix="0" xfId="0">
      <alignment horizontal="center" vertical="center"/>
    </xf>
    <xf numFmtId="168" fontId="19" fillId="15" borderId="7" applyAlignment="1" pivotButton="0" quotePrefix="0" xfId="0">
      <alignment horizontal="center" vertical="center"/>
    </xf>
    <xf numFmtId="164" fontId="19" fillId="15" borderId="7" applyAlignment="1" pivotButton="0" quotePrefix="0" xfId="0">
      <alignment horizontal="right" vertical="center"/>
    </xf>
    <xf numFmtId="164" fontId="12" fillId="15" borderId="7" applyAlignment="1" pivotButton="0" quotePrefix="0" xfId="0">
      <alignment horizontal="right" vertical="center"/>
    </xf>
    <xf numFmtId="165" fontId="12" fillId="15" borderId="7" applyAlignment="1" pivotButton="0" quotePrefix="0" xfId="0">
      <alignment horizontal="center" vertical="center"/>
    </xf>
    <xf numFmtId="0" fontId="9" fillId="9" borderId="7" applyAlignment="1" pivotButton="0" quotePrefix="0" xfId="0">
      <alignment horizontal="center" vertical="center"/>
    </xf>
    <xf numFmtId="0" fontId="19" fillId="10" borderId="7" applyAlignment="1" pivotButton="0" quotePrefix="0" xfId="0">
      <alignment horizontal="left" vertical="center"/>
    </xf>
    <xf numFmtId="0" fontId="19" fillId="10" borderId="7" applyAlignment="1" pivotButton="0" quotePrefix="0" xfId="0">
      <alignment horizontal="center" vertical="center"/>
    </xf>
    <xf numFmtId="168" fontId="19" fillId="10" borderId="7" applyAlignment="1" pivotButton="0" quotePrefix="0" xfId="0">
      <alignment horizontal="center" vertical="center"/>
    </xf>
    <xf numFmtId="164" fontId="19" fillId="10" borderId="7" applyAlignment="1" pivotButton="0" quotePrefix="0" xfId="0">
      <alignment horizontal="right" vertical="center"/>
    </xf>
    <xf numFmtId="164" fontId="16" fillId="10" borderId="7" applyAlignment="1" pivotButton="0" quotePrefix="0" xfId="0">
      <alignment horizontal="right" vertical="center"/>
    </xf>
    <xf numFmtId="165" fontId="16" fillId="10" borderId="7" applyAlignment="1" pivotButton="0" quotePrefix="0" xfId="0">
      <alignment horizontal="center" vertical="center"/>
    </xf>
    <xf numFmtId="0" fontId="9" fillId="5" borderId="7" applyAlignment="1" pivotButton="0" quotePrefix="0" xfId="0">
      <alignment horizontal="center" vertical="center"/>
    </xf>
    <xf numFmtId="164" fontId="16" fillId="15" borderId="7" applyAlignment="1" pivotButton="0" quotePrefix="0" xfId="0">
      <alignment horizontal="right" vertical="center"/>
    </xf>
    <xf numFmtId="165" fontId="12" fillId="10" borderId="7" applyAlignment="1" pivotButton="0" quotePrefix="0" xfId="0">
      <alignment horizontal="center" vertical="center"/>
    </xf>
    <xf numFmtId="165" fontId="16" fillId="15" borderId="7" applyAlignment="1" pivotButton="0" quotePrefix="0" xfId="0">
      <alignment horizontal="center" vertical="center"/>
    </xf>
    <xf numFmtId="164" fontId="12" fillId="10" borderId="7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164" fontId="3" fillId="2" borderId="2" applyAlignment="1" pivotButton="0" quotePrefix="0" xfId="0">
      <alignment horizontal="right" vertical="center"/>
    </xf>
    <xf numFmtId="0" fontId="4" fillId="5" borderId="5" applyAlignment="1" pivotButton="0" quotePrefix="0" xfId="0">
      <alignment horizontal="center" vertical="center" wrapText="1"/>
    </xf>
    <xf numFmtId="0" fontId="11" fillId="10" borderId="7" applyAlignment="1" pivotButton="0" quotePrefix="0" xfId="0">
      <alignment horizontal="center" vertical="center"/>
    </xf>
    <xf numFmtId="0" fontId="19" fillId="16" borderId="7" applyAlignment="1" pivotButton="0" quotePrefix="0" xfId="0">
      <alignment horizontal="center" vertical="center"/>
    </xf>
    <xf numFmtId="0" fontId="19" fillId="16" borderId="7" applyAlignment="1" pivotButton="0" quotePrefix="0" xfId="0">
      <alignment horizontal="left" vertical="center"/>
    </xf>
    <xf numFmtId="164" fontId="19" fillId="16" borderId="7" applyAlignment="1" pivotButton="0" quotePrefix="0" xfId="0">
      <alignment horizontal="right" vertical="center"/>
    </xf>
    <xf numFmtId="0" fontId="9" fillId="12" borderId="7" applyAlignment="1" pivotButton="0" quotePrefix="0" xfId="0">
      <alignment horizontal="center" vertical="center"/>
    </xf>
    <xf numFmtId="168" fontId="19" fillId="16" borderId="7" applyAlignment="1" pivotButton="0" quotePrefix="0" xfId="0">
      <alignment horizontal="center" vertical="center"/>
    </xf>
    <xf numFmtId="3" fontId="10" fillId="16" borderId="7" applyAlignment="1" pivotButton="0" quotePrefix="0" xfId="0">
      <alignment horizontal="center" vertical="center"/>
    </xf>
    <xf numFmtId="3" fontId="10" fillId="10" borderId="7" applyAlignment="1" pivotButton="0" quotePrefix="0" xfId="0">
      <alignment horizontal="center" vertical="center"/>
    </xf>
    <xf numFmtId="0" fontId="9" fillId="17" borderId="7" applyAlignment="1" pivotButton="0" quotePrefix="0" xfId="0">
      <alignment horizontal="center" vertical="center"/>
    </xf>
    <xf numFmtId="0" fontId="9" fillId="8" borderId="7" applyAlignment="1" pivotButton="0" quotePrefix="0" xfId="0">
      <alignment horizontal="center" vertical="center"/>
    </xf>
    <xf numFmtId="3" fontId="16" fillId="18" borderId="7" applyAlignment="1" pivotButton="0" quotePrefix="0" xfId="0">
      <alignment horizontal="center" vertical="center"/>
    </xf>
    <xf numFmtId="0" fontId="9" fillId="13" borderId="7" applyAlignment="1" pivotButton="0" quotePrefix="0" xfId="0">
      <alignment horizontal="center" vertical="center"/>
    </xf>
    <xf numFmtId="0" fontId="9" fillId="14" borderId="7" applyAlignment="1" pivotButton="0" quotePrefix="0" xfId="0">
      <alignment horizontal="center" vertical="center"/>
    </xf>
    <xf numFmtId="0" fontId="4" fillId="12" borderId="5" applyAlignment="1" pivotButton="0" quotePrefix="0" xfId="0">
      <alignment horizontal="center" vertical="center" wrapText="1"/>
    </xf>
    <xf numFmtId="0" fontId="15" fillId="4" borderId="7" applyAlignment="1" pivotButton="0" quotePrefix="0" xfId="0">
      <alignment horizontal="center" vertical="center"/>
    </xf>
    <xf numFmtId="0" fontId="19" fillId="4" borderId="7" applyAlignment="1" pivotButton="0" quotePrefix="0" xfId="0">
      <alignment horizontal="center" vertical="center"/>
    </xf>
    <xf numFmtId="0" fontId="19" fillId="4" borderId="7" applyAlignment="1" pivotButton="0" quotePrefix="0" xfId="0">
      <alignment horizontal="left" vertical="center"/>
    </xf>
    <xf numFmtId="164" fontId="19" fillId="4" borderId="7" applyAlignment="1" pivotButton="0" quotePrefix="0" xfId="0">
      <alignment horizontal="right" vertical="center"/>
    </xf>
    <xf numFmtId="164" fontId="12" fillId="4" borderId="7" applyAlignment="1" pivotButton="0" quotePrefix="0" xfId="0">
      <alignment horizontal="right" vertical="center"/>
    </xf>
    <xf numFmtId="165" fontId="12" fillId="4" borderId="7" applyAlignment="1" pivotButton="0" quotePrefix="0" xfId="0">
      <alignment horizontal="center" vertical="center"/>
    </xf>
    <xf numFmtId="165" fontId="19" fillId="4" borderId="7" applyAlignment="1" pivotButton="0" quotePrefix="0" xfId="0">
      <alignment horizontal="center" vertical="center"/>
    </xf>
    <xf numFmtId="0" fontId="12" fillId="4" borderId="7" applyAlignment="1" pivotButton="0" quotePrefix="0" xfId="0">
      <alignment horizontal="center" vertical="center"/>
    </xf>
    <xf numFmtId="0" fontId="15" fillId="10" borderId="7" applyAlignment="1" pivotButton="0" quotePrefix="0" xfId="0">
      <alignment horizontal="center" vertical="center"/>
    </xf>
    <xf numFmtId="165" fontId="19" fillId="10" borderId="7" applyAlignment="1" pivotButton="0" quotePrefix="0" xfId="0">
      <alignment horizontal="center" vertical="center"/>
    </xf>
    <xf numFmtId="0" fontId="12" fillId="10" borderId="7" applyAlignment="1" pivotButton="0" quotePrefix="0" xfId="0">
      <alignment horizontal="center" vertical="center"/>
    </xf>
    <xf numFmtId="164" fontId="16" fillId="4" borderId="7" applyAlignment="1" pivotButton="0" quotePrefix="0" xfId="0">
      <alignment horizontal="right" vertical="center"/>
    </xf>
    <xf numFmtId="165" fontId="16" fillId="4" borderId="7" applyAlignment="1" pivotButton="0" quotePrefix="0" xfId="0">
      <alignment horizontal="center" vertical="center"/>
    </xf>
    <xf numFmtId="0" fontId="16" fillId="4" borderId="7" applyAlignment="1" pivotButton="0" quotePrefix="0" xfId="0">
      <alignment horizontal="center" vertical="center"/>
    </xf>
    <xf numFmtId="0" fontId="16" fillId="10" borderId="7" applyAlignment="1" pivotButton="0" quotePrefix="0" xfId="0">
      <alignment horizontal="center" vertical="center"/>
    </xf>
    <xf numFmtId="0" fontId="4" fillId="7" borderId="5" applyAlignment="1" pivotButton="0" quotePrefix="0" xfId="0">
      <alignment horizontal="center" vertical="center" wrapText="1"/>
    </xf>
    <xf numFmtId="0" fontId="21" fillId="16" borderId="7" applyAlignment="1" pivotButton="0" quotePrefix="0" xfId="0">
      <alignment horizontal="center" vertical="center"/>
    </xf>
    <xf numFmtId="0" fontId="21" fillId="10" borderId="7" applyAlignment="1" pivotButton="0" quotePrefix="0" xfId="0">
      <alignment horizontal="center" vertical="center"/>
    </xf>
    <xf numFmtId="0" fontId="9" fillId="11" borderId="7" applyAlignment="1" pivotButton="0" quotePrefix="0" xfId="0">
      <alignment horizontal="center" vertical="center"/>
    </xf>
    <xf numFmtId="164" fontId="22" fillId="2" borderId="2" applyAlignment="1" pivotButton="0" quotePrefix="0" xfId="0">
      <alignment horizontal="right" vertical="center"/>
    </xf>
    <xf numFmtId="0" fontId="23" fillId="2" borderId="0" applyAlignment="1" pivotButton="0" quotePrefix="0" xfId="0">
      <alignment horizontal="center" vertical="center"/>
    </xf>
    <xf numFmtId="165" fontId="16" fillId="10" borderId="6" applyAlignment="1" pivotButton="0" quotePrefix="0" xfId="0">
      <alignment horizontal="center" vertical="center"/>
    </xf>
    <xf numFmtId="165" fontId="16" fillId="4" borderId="6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164" fontId="9" fillId="2" borderId="2" applyAlignment="1" pivotButton="0" quotePrefix="0" xfId="0">
      <alignment horizontal="right" vertical="center"/>
    </xf>
    <xf numFmtId="0" fontId="22" fillId="2" borderId="2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24" fillId="4" borderId="7" applyAlignment="1" pivotButton="0" quotePrefix="0" xfId="0">
      <alignment horizontal="left" vertical="top" wrapText="1"/>
    </xf>
    <xf numFmtId="0" fontId="19" fillId="4" borderId="7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5" pivotButton="0" quotePrefix="0" xfId="0"/>
    <xf numFmtId="0" fontId="25" fillId="4" borderId="7" applyAlignment="1" pivotButton="0" quotePrefix="0" xfId="0">
      <alignment horizontal="left" vertical="top" wrapText="1"/>
    </xf>
    <xf numFmtId="0" fontId="24" fillId="10" borderId="7" applyAlignment="1" pivotButton="0" quotePrefix="0" xfId="0">
      <alignment horizontal="left" vertical="top" wrapText="1"/>
    </xf>
    <xf numFmtId="0" fontId="19" fillId="10" borderId="7" applyAlignment="1" pivotButton="0" quotePrefix="0" xfId="0">
      <alignment horizontal="left" vertical="top" wrapText="1"/>
    </xf>
    <xf numFmtId="0" fontId="25" fillId="10" borderId="7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ill>
        <patternFill patternType="solid">
          <fgColor rgb="00E2EFDA"/>
        </patternFill>
      </fill>
    </dxf>
    <dxf>
      <fill>
        <patternFill patternType="solid">
          <fgColor rgb="00FFE0E0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DEEA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Budget vs Forecast vs Actual (€)</a:t>
            </a:r>
          </a:p>
        </rich>
      </tx>
    </title>
    <plotArea>
      <barChart>
        <barDir val="col"/>
        <grouping val="clustered"/>
        <ser>
          <idx val="0"/>
          <order val="0"/>
          <tx>
            <v>Budget</v>
          </tx>
          <spPr>
            <a:ln>
              <a:prstDash val="solid"/>
            </a:ln>
          </spPr>
          <cat>
            <numRef>
              <f>'Dashboard Executive'!$A$12:$A$23</f>
            </numRef>
          </cat>
          <val>
            <numRef>
              <f>'Dashboard Executive'!$B$11:$B$23</f>
            </numRef>
          </val>
        </ser>
        <ser>
          <idx val="1"/>
          <order val="1"/>
          <tx>
            <v>Forecast</v>
          </tx>
          <spPr>
            <a:ln>
              <a:prstDash val="solid"/>
            </a:ln>
          </spPr>
          <cat>
            <numRef>
              <f>'Dashboard Executive'!$A$12:$A$23</f>
            </numRef>
          </cat>
          <val>
            <numRef>
              <f>'Dashboard Executive'!$C$11:$C$23</f>
            </numRef>
          </val>
        </ser>
        <ser>
          <idx val="2"/>
          <order val="2"/>
          <tx>
            <v>Actual</v>
          </tx>
          <spPr>
            <a:ln>
              <a:prstDash val="solid"/>
            </a:ln>
          </spPr>
          <cat>
            <numRef>
              <f>'Dashboard Executive'!$A$12:$A$23</f>
            </numRef>
          </cat>
          <val>
            <numRef>
              <f>'Dashboard Executive'!$D$11:$D$23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Distribution by Therapeutic Area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 Executive'!$J$12:$J$19</f>
            </numRef>
          </cat>
          <val>
            <numRef>
              <f>'Dashboard Executive'!$K$12:$K$19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34</row>
      <rowOff>0</rowOff>
    </from>
    <ext cx="57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Events" displayName="tblEvents" ref="A1:R51" headerRowCount="1">
  <autoFilter ref="A1:R51"/>
  <tableColumns count="18">
    <tableColumn id="1" name="Event ID"/>
    <tableColumn id="2" name="Event Name"/>
    <tableColumn id="3" name="Therapeutic Area"/>
    <tableColumn id="4" name="Product"/>
    <tableColumn id="5" name="Business Unit"/>
    <tableColumn id="6" name="Event Type"/>
    <tableColumn id="7" name="Start Date"/>
    <tableColumn id="8" name="End Date"/>
    <tableColumn id="9" name="Duration (Days)"/>
    <tableColumn id="10" name="City"/>
    <tableColumn id="11" name="Country"/>
    <tableColumn id="12" name="Status"/>
    <tableColumn id="13" name="Responsible Owner"/>
    <tableColumn id="14" name="Cost Center"/>
    <tableColumn id="15" name="GL Account"/>
    <tableColumn id="16" name="Created Date"/>
    <tableColumn id="17" name="Last Modified"/>
    <tableColumn id="18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Budgets" displayName="tblBudgets" ref="A1:V51" headerRowCount="1">
  <autoFilter ref="A1:V51"/>
  <tableColumns count="22">
    <tableColumn id="1" name="Event ID"/>
    <tableColumn id="2" name="Event Name"/>
    <tableColumn id="3" name="Cost Center"/>
    <tableColumn id="4" name="GL Account"/>
    <tableColumn id="5" name="Therapeutic Area"/>
    <tableColumn id="6" name="Business Unit"/>
    <tableColumn id="7" name="Event Type"/>
    <tableColumn id="8" name="Start Date"/>
    <tableColumn id="9" name="Initial Budget (€)"/>
    <tableColumn id="10" name="Approved Budget (€)"/>
    <tableColumn id="11" name="Forecast V1 (€)"/>
    <tableColumn id="12" name="Forecast V2 (€)"/>
    <tableColumn id="13" name="Current Forecast (€)"/>
    <tableColumn id="14" name="Committed (€)"/>
    <tableColumn id="15" name="Actual Spend (€)"/>
    <tableColumn id="16" name="Remaining Budget (€)"/>
    <tableColumn id="17" name="Budget Variance (€)"/>
    <tableColumn id="18" name="Variance %"/>
    <tableColumn id="19" name="Forecast Version"/>
    <tableColumn id="20" name="Budget Status"/>
    <tableColumn id="21" name="Approval Date"/>
    <tableColumn id="22" name="Approved By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tblSuppliers" displayName="tblSuppliers" ref="A1:Q149" headerRowCount="1">
  <autoFilter ref="A1:Q149"/>
  <tableColumns count="17">
    <tableColumn id="1" name="Record ID"/>
    <tableColumn id="2" name="Event ID"/>
    <tableColumn id="3" name="Event Name"/>
    <tableColumn id="4" name="Supplier Name"/>
    <tableColumn id="5" name="Category"/>
    <tableColumn id="6" name="Contract Status"/>
    <tableColumn id="7" name="PO Number"/>
    <tableColumn id="8" name="Invoice Number"/>
    <tableColumn id="9" name="Amount (€)"/>
    <tableColumn id="10" name="Currency"/>
    <tableColumn id="11" name="Payment Status"/>
    <tableColumn id="12" name="Due Date"/>
    <tableColumn id="13" name="Risk Indicator"/>
    <tableColumn id="14" name="Payment Terms (Days)"/>
    <tableColumn id="15" name="Overdue Days"/>
    <tableColumn id="16" name="Notes"/>
    <tableColumn id="17" name="Last Updated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4" name="tblCosts" displayName="tblCosts" ref="A1:P551" headerRowCount="1">
  <autoFilter ref="A1:P551"/>
  <tableColumns count="16">
    <tableColumn id="1" name="Record ID"/>
    <tableColumn id="2" name="Event ID"/>
    <tableColumn id="3" name="Event Name"/>
    <tableColumn id="4" name="Therapeutic Area"/>
    <tableColumn id="5" name="Business Unit"/>
    <tableColumn id="6" name="Cost Category"/>
    <tableColumn id="7" name="Month"/>
    <tableColumn id="8" name="Quarter"/>
    <tableColumn id="9" name="Budgeted (€)"/>
    <tableColumn id="10" name="Committed (€)"/>
    <tableColumn id="11" name="Actual (€)"/>
    <tableColumn id="12" name="Variance (€)"/>
    <tableColumn id="13" name="Variance %"/>
    <tableColumn id="14" name="Absorption %"/>
    <tableColumn id="15" name="Over/Under"/>
    <tableColumn id="16" name="Status"/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id="5" name="tblPOs" displayName="tblPOs" ref="A1:S149" headerRowCount="1">
  <autoFilter ref="A1:S149"/>
  <tableColumns count="19">
    <tableColumn id="1" name="PO Number"/>
    <tableColumn id="2" name="Event ID"/>
    <tableColumn id="3" name="Supplier"/>
    <tableColumn id="4" name="Category"/>
    <tableColumn id="5" name="Request Date"/>
    <tableColumn id="6" name="Approval Date"/>
    <tableColumn id="7" name="Days to Approve"/>
    <tableColumn id="8" name="Amount (€)"/>
    <tableColumn id="9" name="Currency"/>
    <tableColumn id="10" name="Cost Center"/>
    <tableColumn id="11" name="GL Account"/>
    <tableColumn id="12" name="PO Status"/>
    <tableColumn id="13" name="Invoice Number"/>
    <tableColumn id="14" name="Payment Status"/>
    <tableColumn id="15" name="Due Date"/>
    <tableColumn id="16" name="Days Overdue"/>
    <tableColumn id="17" name="Requestor"/>
    <tableColumn id="18" name="Approver"/>
    <tableColumn id="19" name="Notes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R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0" customWidth="1" min="6" max="6"/>
    <col width="8" customWidth="1" min="7" max="7"/>
    <col width="13" customWidth="1" min="8" max="8"/>
    <col width="2" customWidth="1" min="9" max="9"/>
    <col width="28" customWidth="1" min="10" max="10"/>
    <col width="14" customWidth="1" min="11" max="11"/>
    <col width="14" customWidth="1" min="12" max="12"/>
    <col width="12" customWidth="1" min="13" max="13"/>
    <col width="8" customWidth="1" min="14" max="14"/>
    <col width="8" customWidth="1" min="15" max="15"/>
    <col width="8" customWidth="1" min="16" max="16"/>
    <col width="14" customWidth="1" min="17" max="17"/>
  </cols>
  <sheetData>
    <row r="1" ht="40" customHeight="1">
      <c r="A1" s="1" t="inlineStr">
        <is>
          <t>PHARMACEUTICAL EVENTS OPERATIONS  |  EXECUTIVE DASHBOARD  |  FY 2025</t>
        </is>
      </c>
    </row>
    <row r="2" ht="20" customHeight="1">
      <c r="A2" s="2" t="inlineStr">
        <is>
          <t>Generated: 24 June 2026   |   Confidential – For Internal Use Only</t>
        </is>
      </c>
    </row>
    <row r="4" ht="22" customHeight="1">
      <c r="A4" s="3" t="inlineStr">
        <is>
          <t xml:space="preserve">  KEY PERFORMANCE INDICATORS</t>
        </is>
      </c>
    </row>
    <row r="5" ht="28" customHeight="1">
      <c r="A5" s="4" t="inlineStr">
        <is>
          <t>TOTAL BUDGET</t>
        </is>
      </c>
      <c r="C5" s="4" t="inlineStr">
        <is>
          <t>TOTAL COMMITTED</t>
        </is>
      </c>
      <c r="E5" s="4" t="inlineStr">
        <is>
          <t>TOTAL ACTUAL</t>
        </is>
      </c>
      <c r="G5" s="4" t="inlineStr">
        <is>
          <t>CURRENT FORECAST</t>
        </is>
      </c>
      <c r="I5" s="4" t="inlineStr">
        <is>
          <t>SAVINGS / UNDERSPEND</t>
        </is>
      </c>
      <c r="K5" s="4" t="inlineStr">
        <is>
          <t>VARIANCE %</t>
        </is>
      </c>
      <c r="M5" s="4" t="inlineStr">
        <is>
          <t>TOTAL EVENTS</t>
        </is>
      </c>
      <c r="O5" s="4" t="inlineStr">
        <is>
          <t>ACTIVE EVENTS</t>
        </is>
      </c>
      <c r="Q5" s="4" t="inlineStr">
        <is>
          <t>COMPLETED</t>
        </is>
      </c>
    </row>
    <row r="6" ht="36" customHeight="1">
      <c r="A6" s="5" t="n">
        <v>12583082.08</v>
      </c>
      <c r="C6" s="5" t="n">
        <v>9104032.630000001</v>
      </c>
      <c r="E6" s="5" t="n">
        <v>5121883.900000001</v>
      </c>
      <c r="G6" s="5" t="n">
        <v>12948691.2</v>
      </c>
      <c r="I6" s="5" t="n">
        <v>-365609.1200000029</v>
      </c>
      <c r="K6" s="6" t="n">
        <v>-0.02905560956175555</v>
      </c>
      <c r="M6" s="7" t="n">
        <v>50</v>
      </c>
      <c r="O6" s="7" t="n">
        <v>15</v>
      </c>
      <c r="Q6" s="7" t="n">
        <v>25</v>
      </c>
    </row>
    <row r="7" ht="28" customHeight="1">
      <c r="A7" s="8" t="inlineStr">
        <is>
          <t>CANCELLED</t>
        </is>
      </c>
      <c r="C7" s="9" t="inlineStr">
        <is>
          <t>ON HOLD</t>
        </is>
      </c>
      <c r="E7" s="10" t="inlineStr">
        <is>
          <t>HIGH RISK SUPS</t>
        </is>
      </c>
      <c r="G7" s="10" t="inlineStr">
        <is>
          <t>OVERDUE INVOICES</t>
        </is>
      </c>
      <c r="I7" s="11" t="inlineStr">
        <is>
          <t>TOTAL POs</t>
        </is>
      </c>
      <c r="K7" s="12" t="inlineStr">
        <is>
          <t>FORECAST ACCURACY</t>
        </is>
      </c>
      <c r="M7" s="11" t="inlineStr">
        <is>
          <t>TOTAL SUPPLIERS</t>
        </is>
      </c>
      <c r="O7" s="13" t="inlineStr">
        <is>
          <t>AVG EVENT BUDGET</t>
        </is>
      </c>
      <c r="Q7" s="8" t="inlineStr">
        <is>
          <t>BUDGET UTILIZATION</t>
        </is>
      </c>
    </row>
    <row r="8" ht="28" customHeight="1">
      <c r="A8" s="14" t="n">
        <v>2</v>
      </c>
      <c r="C8" s="14" t="n">
        <v>3</v>
      </c>
      <c r="E8" s="14" t="n">
        <v>17</v>
      </c>
      <c r="G8" s="14" t="n">
        <v>23</v>
      </c>
      <c r="I8" s="14" t="n">
        <v>148</v>
      </c>
      <c r="K8" s="15" t="n">
        <v>0.9709443904382444</v>
      </c>
      <c r="M8" s="14" t="n">
        <v>15</v>
      </c>
      <c r="O8" s="16" t="n">
        <v>251661.6416</v>
      </c>
      <c r="Q8" s="15" t="n">
        <v>0.7235137283631231</v>
      </c>
    </row>
    <row r="10" ht="22" customHeight="1">
      <c r="A10" s="3" t="inlineStr">
        <is>
          <t xml:space="preserve">  MONTHLY BUDGET VS FORECAST TREND (2025)</t>
        </is>
      </c>
      <c r="J10" s="3" t="inlineStr">
        <is>
          <t xml:space="preserve">  BUDGET BY THERAPEUTIC AREA</t>
        </is>
      </c>
    </row>
    <row r="11" ht="20" customHeight="1">
      <c r="A11" s="17" t="inlineStr">
        <is>
          <t>Month</t>
        </is>
      </c>
      <c r="B11" s="17" t="inlineStr">
        <is>
          <t>Budget (€)</t>
        </is>
      </c>
      <c r="C11" s="17" t="inlineStr">
        <is>
          <t>Forecast (€)</t>
        </is>
      </c>
      <c r="D11" s="17" t="inlineStr">
        <is>
          <t>Actual (€)</t>
        </is>
      </c>
      <c r="E11" s="17" t="inlineStr">
        <is>
          <t>Variance (€)</t>
        </is>
      </c>
      <c r="F11" s="17" t="inlineStr">
        <is>
          <t>Var %</t>
        </is>
      </c>
      <c r="G11" s="17" t="inlineStr">
        <is>
          <t>Events</t>
        </is>
      </c>
      <c r="H11" s="17" t="inlineStr">
        <is>
          <t>Status</t>
        </is>
      </c>
      <c r="J11" s="17" t="inlineStr">
        <is>
          <t>Therapeutic Area</t>
        </is>
      </c>
      <c r="K11" s="17" t="inlineStr">
        <is>
          <t>Budget (€)</t>
        </is>
      </c>
      <c r="L11" s="17" t="inlineStr">
        <is>
          <t>Committed (€)</t>
        </is>
      </c>
      <c r="M11" s="17" t="inlineStr">
        <is>
          <t>Utilization %</t>
        </is>
      </c>
      <c r="N11" s="17" t="inlineStr">
        <is>
          <t>Events</t>
        </is>
      </c>
    </row>
    <row r="12" ht="18" customHeight="1">
      <c r="A12" s="18" t="inlineStr">
        <is>
          <t>Jan</t>
        </is>
      </c>
      <c r="B12" s="19" t="n">
        <v>779049.36</v>
      </c>
      <c r="C12" s="19" t="n">
        <v>818276.0799999998</v>
      </c>
      <c r="D12" s="19" t="n">
        <v>349180.0700000001</v>
      </c>
      <c r="E12" s="19" t="n">
        <v>-39226.71999999986</v>
      </c>
      <c r="F12" s="20" t="n">
        <v>-0.0503520341766276</v>
      </c>
      <c r="G12" s="18" t="n">
        <v>4</v>
      </c>
      <c r="H12" s="21" t="inlineStr">
        <is>
          <t>At Risk</t>
        </is>
      </c>
      <c r="J12" s="22" t="inlineStr">
        <is>
          <t>Immunology</t>
        </is>
      </c>
      <c r="K12" s="19" t="n">
        <v>2592078.45</v>
      </c>
      <c r="L12" s="19" t="n">
        <v>1965442.61</v>
      </c>
      <c r="M12" s="20" t="n">
        <v>0.7582496625439713</v>
      </c>
      <c r="N12" s="18" t="n">
        <v>11</v>
      </c>
    </row>
    <row r="13" ht="18" customHeight="1">
      <c r="A13" s="23" t="inlineStr">
        <is>
          <t>Feb</t>
        </is>
      </c>
      <c r="B13" s="24" t="n">
        <v>784866.7</v>
      </c>
      <c r="C13" s="24" t="n">
        <v>817020.42</v>
      </c>
      <c r="D13" s="24" t="n">
        <v>406898.29</v>
      </c>
      <c r="E13" s="24" t="n">
        <v>-32153.72000000009</v>
      </c>
      <c r="F13" s="25" t="n">
        <v>-0.04096710944673802</v>
      </c>
      <c r="G13" s="23" t="n">
        <v>3</v>
      </c>
      <c r="H13" s="26" t="inlineStr">
        <is>
          <t>On Track</t>
        </is>
      </c>
      <c r="J13" s="27" t="inlineStr">
        <is>
          <t>Neurology</t>
        </is>
      </c>
      <c r="K13" s="24" t="n">
        <v>1981110.32</v>
      </c>
      <c r="L13" s="24" t="n">
        <v>1440832.4</v>
      </c>
      <c r="M13" s="28" t="n">
        <v>0.7272852932289</v>
      </c>
      <c r="N13" s="23" t="n">
        <v>7</v>
      </c>
    </row>
    <row r="14" ht="18" customHeight="1">
      <c r="A14" s="18" t="inlineStr">
        <is>
          <t>Mar</t>
        </is>
      </c>
      <c r="B14" s="19" t="n">
        <v>964975.09</v>
      </c>
      <c r="C14" s="19" t="n">
        <v>1020766.47</v>
      </c>
      <c r="D14" s="19" t="n">
        <v>502148.41</v>
      </c>
      <c r="E14" s="19" t="n">
        <v>-55791.38000000012</v>
      </c>
      <c r="F14" s="20" t="n">
        <v>-0.05781639399624307</v>
      </c>
      <c r="G14" s="18" t="n">
        <v>5</v>
      </c>
      <c r="H14" s="21" t="inlineStr">
        <is>
          <t>At Risk</t>
        </is>
      </c>
      <c r="J14" s="22" t="inlineStr">
        <is>
          <t>Rare Diseases</t>
        </is>
      </c>
      <c r="K14" s="19" t="n">
        <v>1880301.43</v>
      </c>
      <c r="L14" s="19" t="n">
        <v>1315742.07</v>
      </c>
      <c r="M14" s="29" t="n">
        <v>0.6997506086032173</v>
      </c>
      <c r="N14" s="18" t="n">
        <v>7</v>
      </c>
    </row>
    <row r="15" ht="18" customHeight="1">
      <c r="A15" s="23" t="inlineStr">
        <is>
          <t>Apr</t>
        </is>
      </c>
      <c r="B15" s="24" t="n">
        <v>943730.4399999999</v>
      </c>
      <c r="C15" s="24" t="n">
        <v>940161.4500000001</v>
      </c>
      <c r="D15" s="24" t="n">
        <v>571497.9299999999</v>
      </c>
      <c r="E15" s="24" t="n">
        <v>3568.989999999874</v>
      </c>
      <c r="F15" s="28" t="n">
        <v>0.003781789638998901</v>
      </c>
      <c r="G15" s="23" t="n">
        <v>4</v>
      </c>
      <c r="H15" s="26" t="inlineStr">
        <is>
          <t>On Track</t>
        </is>
      </c>
      <c r="J15" s="27" t="inlineStr">
        <is>
          <t>Cardiology</t>
        </is>
      </c>
      <c r="K15" s="24" t="n">
        <v>1779923.4</v>
      </c>
      <c r="L15" s="24" t="n">
        <v>1409181.89</v>
      </c>
      <c r="M15" s="25" t="n">
        <v>0.7917092892873928</v>
      </c>
      <c r="N15" s="23" t="n">
        <v>7</v>
      </c>
    </row>
    <row r="16" ht="18" customHeight="1">
      <c r="A16" s="18" t="inlineStr">
        <is>
          <t>May</t>
        </is>
      </c>
      <c r="B16" s="19" t="n">
        <v>1307942.57</v>
      </c>
      <c r="C16" s="19" t="n">
        <v>1374120.41</v>
      </c>
      <c r="D16" s="19" t="n">
        <v>359649.6</v>
      </c>
      <c r="E16" s="19" t="n">
        <v>-66177.83999999985</v>
      </c>
      <c r="F16" s="20" t="n">
        <v>-0.0505969004434192</v>
      </c>
      <c r="G16" s="18" t="n">
        <v>6</v>
      </c>
      <c r="H16" s="21" t="inlineStr">
        <is>
          <t>At Risk</t>
        </is>
      </c>
      <c r="J16" s="22" t="inlineStr">
        <is>
          <t>Oncology</t>
        </is>
      </c>
      <c r="K16" s="19" t="n">
        <v>1479843.46</v>
      </c>
      <c r="L16" s="19" t="n">
        <v>1000797.83</v>
      </c>
      <c r="M16" s="29" t="n">
        <v>0.6762862809827197</v>
      </c>
      <c r="N16" s="18" t="n">
        <v>5</v>
      </c>
    </row>
    <row r="17" ht="18" customHeight="1">
      <c r="A17" s="23" t="inlineStr">
        <is>
          <t>Jun</t>
        </is>
      </c>
      <c r="B17" s="24" t="n">
        <v>1056007.94</v>
      </c>
      <c r="C17" s="24" t="n">
        <v>1088260.2</v>
      </c>
      <c r="D17" s="24" t="n">
        <v>521865.62</v>
      </c>
      <c r="E17" s="24" t="n">
        <v>-32252.26000000024</v>
      </c>
      <c r="F17" s="25" t="n">
        <v>-0.03054168323772286</v>
      </c>
      <c r="G17" s="23" t="n">
        <v>5</v>
      </c>
      <c r="H17" s="26" t="inlineStr">
        <is>
          <t>On Track</t>
        </is>
      </c>
      <c r="J17" s="27" t="inlineStr">
        <is>
          <t>Infectious Diseases</t>
        </is>
      </c>
      <c r="K17" s="24" t="n">
        <v>1479544.03</v>
      </c>
      <c r="L17" s="24" t="n">
        <v>1010479.33</v>
      </c>
      <c r="M17" s="28" t="n">
        <v>0.6829667177934543</v>
      </c>
      <c r="N17" s="23" t="n">
        <v>7</v>
      </c>
    </row>
    <row r="18" ht="18" customHeight="1">
      <c r="A18" s="18" t="inlineStr">
        <is>
          <t>Jul</t>
        </is>
      </c>
      <c r="B18" s="19" t="n">
        <v>697057.55</v>
      </c>
      <c r="C18" s="19" t="n">
        <v>734732.85</v>
      </c>
      <c r="D18" s="19" t="n">
        <v>392339.7</v>
      </c>
      <c r="E18" s="19" t="n">
        <v>-37675.29999999993</v>
      </c>
      <c r="F18" s="20" t="n">
        <v>-0.05404905233434446</v>
      </c>
      <c r="G18" s="18" t="n">
        <v>3</v>
      </c>
      <c r="H18" s="21" t="inlineStr">
        <is>
          <t>At Risk</t>
        </is>
      </c>
      <c r="J18" s="22" t="inlineStr">
        <is>
          <t>Hematology</t>
        </is>
      </c>
      <c r="K18" s="19" t="n">
        <v>1344276.95</v>
      </c>
      <c r="L18" s="19" t="n">
        <v>938377.51</v>
      </c>
      <c r="M18" s="29" t="n">
        <v>0.6980537083522856</v>
      </c>
      <c r="N18" s="18" t="n">
        <v>5</v>
      </c>
    </row>
    <row r="19" ht="18" customHeight="1">
      <c r="A19" s="23" t="inlineStr">
        <is>
          <t>Aug</t>
        </is>
      </c>
      <c r="B19" s="24" t="n">
        <v>571084.99</v>
      </c>
      <c r="C19" s="24" t="n">
        <v>600929.87</v>
      </c>
      <c r="D19" s="24" t="n">
        <v>174848.53</v>
      </c>
      <c r="E19" s="24" t="n">
        <v>-29844.88</v>
      </c>
      <c r="F19" s="25" t="n">
        <v>-0.05225996221683222</v>
      </c>
      <c r="G19" s="23" t="n">
        <v>2</v>
      </c>
      <c r="H19" s="30" t="inlineStr">
        <is>
          <t>At Risk</t>
        </is>
      </c>
      <c r="J19" s="27" t="inlineStr">
        <is>
          <t>Gastroenterology</t>
        </is>
      </c>
      <c r="K19" s="24" t="n">
        <v>46004.04</v>
      </c>
      <c r="L19" s="24" t="n">
        <v>23178.99</v>
      </c>
      <c r="M19" s="28" t="n">
        <v>0.5038468360604852</v>
      </c>
      <c r="N19" s="23" t="n">
        <v>1</v>
      </c>
    </row>
    <row r="20" ht="18" customHeight="1">
      <c r="A20" s="18" t="inlineStr">
        <is>
          <t>Sep</t>
        </is>
      </c>
      <c r="B20" s="19" t="n">
        <v>1337949.49</v>
      </c>
      <c r="C20" s="19" t="n">
        <v>1342940.76</v>
      </c>
      <c r="D20" s="19" t="n">
        <v>233907.77</v>
      </c>
      <c r="E20" s="19" t="n">
        <v>-4991.270000000019</v>
      </c>
      <c r="F20" s="20" t="n">
        <v>-0.003730536942766067</v>
      </c>
      <c r="G20" s="18" t="n">
        <v>4</v>
      </c>
      <c r="H20" s="31" t="inlineStr">
        <is>
          <t>On Track</t>
        </is>
      </c>
    </row>
    <row r="21" ht="18" customHeight="1">
      <c r="A21" s="23" t="inlineStr">
        <is>
          <t>Oct</t>
        </is>
      </c>
      <c r="B21" s="24" t="n">
        <v>1136074.69</v>
      </c>
      <c r="C21" s="24" t="n">
        <v>1177096.24</v>
      </c>
      <c r="D21" s="24" t="n">
        <v>243054.32</v>
      </c>
      <c r="E21" s="24" t="n">
        <v>-41021.55000000005</v>
      </c>
      <c r="F21" s="25" t="n">
        <v>-0.03610814531921316</v>
      </c>
      <c r="G21" s="23" t="n">
        <v>4</v>
      </c>
      <c r="H21" s="26" t="inlineStr">
        <is>
          <t>On Track</t>
        </is>
      </c>
    </row>
    <row r="22" ht="18" customHeight="1">
      <c r="A22" s="18" t="inlineStr">
        <is>
          <t>Nov</t>
        </is>
      </c>
      <c r="B22" s="19" t="n">
        <v>970256.04</v>
      </c>
      <c r="C22" s="19" t="n">
        <v>982734.6100000001</v>
      </c>
      <c r="D22" s="19" t="n">
        <v>207879.18</v>
      </c>
      <c r="E22" s="19" t="n">
        <v>-12478.57000000007</v>
      </c>
      <c r="F22" s="20" t="n">
        <v>-0.01286111035186142</v>
      </c>
      <c r="G22" s="18" t="n">
        <v>3</v>
      </c>
      <c r="H22" s="31" t="inlineStr">
        <is>
          <t>On Track</t>
        </is>
      </c>
    </row>
    <row r="23" ht="18" customHeight="1">
      <c r="A23" s="23" t="inlineStr">
        <is>
          <t>Dec</t>
        </is>
      </c>
      <c r="B23" s="24" t="n">
        <v>2034087.22</v>
      </c>
      <c r="C23" s="24" t="n">
        <v>2051651.84</v>
      </c>
      <c r="D23" s="24" t="n">
        <v>1158614.48</v>
      </c>
      <c r="E23" s="24" t="n">
        <v>-17564.62000000034</v>
      </c>
      <c r="F23" s="25" t="n">
        <v>-0.008635136107880539</v>
      </c>
      <c r="G23" s="23" t="n">
        <v>7</v>
      </c>
      <c r="H23" s="26" t="inlineStr">
        <is>
          <t>On Track</t>
        </is>
      </c>
    </row>
    <row r="26" ht="22" customHeight="1">
      <c r="A26" s="3" t="inlineStr">
        <is>
          <t xml:space="preserve">  EVENT STATUS DISTRIBUTION</t>
        </is>
      </c>
      <c r="J26" s="3" t="inlineStr">
        <is>
          <t xml:space="preserve">  TOP 8 SUPPLIERS BY COMMITTED SPEND</t>
        </is>
      </c>
    </row>
    <row r="27">
      <c r="A27" s="17" t="inlineStr">
        <is>
          <t>Status</t>
        </is>
      </c>
      <c r="B27" s="17" t="inlineStr">
        <is>
          <t>Count</t>
        </is>
      </c>
      <c r="C27" s="17" t="inlineStr">
        <is>
          <t>% of Total</t>
        </is>
      </c>
      <c r="D27" s="17" t="inlineStr">
        <is>
          <t>Budget (€)</t>
        </is>
      </c>
      <c r="E27" s="17" t="inlineStr">
        <is>
          <t>Avg Budget (€)</t>
        </is>
      </c>
      <c r="J27" s="17" t="inlineStr">
        <is>
          <t>Supplier</t>
        </is>
      </c>
      <c r="K27" s="17" t="inlineStr">
        <is>
          <t>Category</t>
        </is>
      </c>
      <c r="L27" s="17" t="inlineStr">
        <is>
          <t>Committed (€)</t>
        </is>
      </c>
      <c r="M27" s="17" t="inlineStr">
        <is>
          <t>Share %</t>
        </is>
      </c>
      <c r="N27" s="17" t="inlineStr">
        <is>
          <t>Risk</t>
        </is>
      </c>
    </row>
    <row r="28" ht="18" customHeight="1">
      <c r="A28" s="32" t="inlineStr">
        <is>
          <t>Completed</t>
        </is>
      </c>
      <c r="B28" s="33" t="n">
        <v>25</v>
      </c>
      <c r="C28" s="34" t="n">
        <v>0.5</v>
      </c>
      <c r="D28" s="19" t="n">
        <v>5868468.500000001</v>
      </c>
      <c r="E28" s="19" t="n">
        <v>234738.74</v>
      </c>
      <c r="J28" s="22" t="inlineStr">
        <is>
          <t>TechEvent Systems</t>
        </is>
      </c>
      <c r="K28" s="22" t="inlineStr">
        <is>
          <t>Registration &amp; Tech</t>
        </is>
      </c>
      <c r="L28" s="19" t="n">
        <v>515548.4900000002</v>
      </c>
      <c r="M28" s="34" t="n">
        <v>0.08865089149509729</v>
      </c>
      <c r="N28" s="35" t="inlineStr">
        <is>
          <t>High</t>
        </is>
      </c>
    </row>
    <row r="29" ht="18" customHeight="1">
      <c r="A29" s="36" t="inlineStr">
        <is>
          <t>Confirmed</t>
        </is>
      </c>
      <c r="B29" s="37" t="n">
        <v>9</v>
      </c>
      <c r="C29" s="38" t="n">
        <v>0.18</v>
      </c>
      <c r="D29" s="24" t="n">
        <v>2137214.14</v>
      </c>
      <c r="E29" s="24" t="n">
        <v>237468.2377777777</v>
      </c>
      <c r="J29" s="27" t="inlineStr">
        <is>
          <t>Translingua Pro</t>
        </is>
      </c>
      <c r="K29" s="27" t="inlineStr">
        <is>
          <t>Translation &amp; Interpretation</t>
        </is>
      </c>
      <c r="L29" s="24" t="n">
        <v>502000.22</v>
      </c>
      <c r="M29" s="38" t="n">
        <v>0.08632120527350387</v>
      </c>
      <c r="N29" s="39" t="inlineStr">
        <is>
          <t>High</t>
        </is>
      </c>
    </row>
    <row r="30" ht="18" customHeight="1">
      <c r="A30" s="40" t="inlineStr">
        <is>
          <t>Cancelled</t>
        </is>
      </c>
      <c r="B30" s="33" t="n">
        <v>2</v>
      </c>
      <c r="C30" s="34" t="n">
        <v>0.04</v>
      </c>
      <c r="D30" s="19" t="n">
        <v>379499.4</v>
      </c>
      <c r="E30" s="19" t="n">
        <v>189749.7</v>
      </c>
      <c r="J30" s="22" t="inlineStr">
        <is>
          <t>InterCongress PCO</t>
        </is>
      </c>
      <c r="K30" s="22" t="inlineStr">
        <is>
          <t>PCO / Event Agency</t>
        </is>
      </c>
      <c r="L30" s="19" t="n">
        <v>459896.3200000001</v>
      </c>
      <c r="M30" s="34" t="n">
        <v>0.07908124949277717</v>
      </c>
      <c r="N30" s="21" t="inlineStr">
        <is>
          <t>Medium</t>
        </is>
      </c>
    </row>
    <row r="31" ht="18" customHeight="1">
      <c r="A31" s="41" t="inlineStr">
        <is>
          <t>In Progress</t>
        </is>
      </c>
      <c r="B31" s="37" t="n">
        <v>3</v>
      </c>
      <c r="C31" s="38" t="n">
        <v>0.06</v>
      </c>
      <c r="D31" s="24" t="n">
        <v>1391053.25</v>
      </c>
      <c r="E31" s="24" t="n">
        <v>463684.4166666667</v>
      </c>
      <c r="J31" s="27" t="inlineStr">
        <is>
          <t>AVIAWORLD Travel</t>
        </is>
      </c>
      <c r="K31" s="27" t="inlineStr">
        <is>
          <t>Travel &amp; Air</t>
        </is>
      </c>
      <c r="L31" s="24" t="n">
        <v>443030.1799999999</v>
      </c>
      <c r="M31" s="38" t="n">
        <v>0.07618104053846303</v>
      </c>
      <c r="N31" s="39" t="inlineStr">
        <is>
          <t>High</t>
        </is>
      </c>
    </row>
    <row r="32" ht="18" customHeight="1">
      <c r="A32" s="42" t="inlineStr">
        <is>
          <t>Planning</t>
        </is>
      </c>
      <c r="B32" s="33" t="n">
        <v>3</v>
      </c>
      <c r="C32" s="34" t="n">
        <v>0.06</v>
      </c>
      <c r="D32" s="19" t="n">
        <v>1060908.14</v>
      </c>
      <c r="E32" s="19" t="n">
        <v>353636.0466666666</v>
      </c>
      <c r="J32" s="22" t="inlineStr">
        <is>
          <t>Catering Excellence</t>
        </is>
      </c>
      <c r="K32" s="22" t="inlineStr">
        <is>
          <t>F&amp;B / Catering</t>
        </is>
      </c>
      <c r="L32" s="19" t="n">
        <v>436951.9399999999</v>
      </c>
      <c r="M32" s="34" t="n">
        <v>0.0751358597161486</v>
      </c>
      <c r="N32" s="35" t="inlineStr">
        <is>
          <t>High</t>
        </is>
      </c>
    </row>
    <row r="33" ht="18" customHeight="1">
      <c r="A33" s="43" t="inlineStr">
        <is>
          <t>Closed</t>
        </is>
      </c>
      <c r="B33" s="37" t="n">
        <v>5</v>
      </c>
      <c r="C33" s="38" t="n">
        <v>0.1</v>
      </c>
      <c r="D33" s="24" t="n">
        <v>1222127.74</v>
      </c>
      <c r="E33" s="24" t="n">
        <v>244425.548</v>
      </c>
      <c r="J33" s="27" t="inlineStr">
        <is>
          <t>PharmaLogix</t>
        </is>
      </c>
      <c r="K33" s="27" t="inlineStr">
        <is>
          <t>Logistics &amp; Transport</t>
        </is>
      </c>
      <c r="L33" s="24" t="n">
        <v>426858.37</v>
      </c>
      <c r="M33" s="38" t="n">
        <v>0.07340022476381239</v>
      </c>
      <c r="N33" s="30" t="inlineStr">
        <is>
          <t>Medium</t>
        </is>
      </c>
    </row>
    <row r="34" ht="18" customHeight="1">
      <c r="A34" s="44" t="inlineStr">
        <is>
          <t>On Hold</t>
        </is>
      </c>
      <c r="B34" s="33" t="n">
        <v>3</v>
      </c>
      <c r="C34" s="34" t="n">
        <v>0.06</v>
      </c>
      <c r="D34" s="19" t="n">
        <v>523810.91</v>
      </c>
      <c r="E34" s="19" t="n">
        <v>174603.6366666667</v>
      </c>
      <c r="J34" s="22" t="inlineStr">
        <is>
          <t>HealthMarketing Group</t>
        </is>
      </c>
      <c r="K34" s="22" t="inlineStr">
        <is>
          <t>Marketing Agency</t>
        </is>
      </c>
      <c r="L34" s="19" t="n">
        <v>376864.52</v>
      </c>
      <c r="M34" s="34" t="n">
        <v>0.06480355644310375</v>
      </c>
      <c r="N34" s="35" t="inlineStr">
        <is>
          <t>High</t>
        </is>
      </c>
    </row>
    <row r="35" ht="18" customHeight="1">
      <c r="J35" s="27" t="inlineStr">
        <is>
          <t>Venue Masters EMEA</t>
        </is>
      </c>
      <c r="K35" s="27" t="inlineStr">
        <is>
          <t>Venue Sourcing</t>
        </is>
      </c>
      <c r="L35" s="24" t="n">
        <v>369152.43</v>
      </c>
      <c r="M35" s="38" t="n">
        <v>0.0634774277334834</v>
      </c>
      <c r="N35" s="39" t="inlineStr">
        <is>
          <t>High</t>
        </is>
      </c>
    </row>
  </sheetData>
  <mergeCells count="43">
    <mergeCell ref="O7:P7"/>
    <mergeCell ref="Q7:R7"/>
    <mergeCell ref="C6:D6"/>
    <mergeCell ref="I6:J6"/>
    <mergeCell ref="C5:D5"/>
    <mergeCell ref="O6:P6"/>
    <mergeCell ref="E5:F5"/>
    <mergeCell ref="K5:L5"/>
    <mergeCell ref="M5:N5"/>
    <mergeCell ref="J10:Q10"/>
    <mergeCell ref="G8:H8"/>
    <mergeCell ref="A1:Q1"/>
    <mergeCell ref="A6:B6"/>
    <mergeCell ref="E8:F8"/>
    <mergeCell ref="Q8:R8"/>
    <mergeCell ref="A7:B7"/>
    <mergeCell ref="G7:H7"/>
    <mergeCell ref="O5:P5"/>
    <mergeCell ref="I7:J7"/>
    <mergeCell ref="Q5:R5"/>
    <mergeCell ref="G6:H6"/>
    <mergeCell ref="M7:N7"/>
    <mergeCell ref="A26:H26"/>
    <mergeCell ref="E6:F6"/>
    <mergeCell ref="J26:Q26"/>
    <mergeCell ref="M6:N6"/>
    <mergeCell ref="K8:L8"/>
    <mergeCell ref="Q6:R6"/>
    <mergeCell ref="A5:B5"/>
    <mergeCell ref="G5:H5"/>
    <mergeCell ref="A2:Q2"/>
    <mergeCell ref="I5:J5"/>
    <mergeCell ref="I8:J8"/>
    <mergeCell ref="A8:B8"/>
    <mergeCell ref="M8:N8"/>
    <mergeCell ref="C8:D8"/>
    <mergeCell ref="O8:P8"/>
    <mergeCell ref="K7:L7"/>
    <mergeCell ref="C7:D7"/>
    <mergeCell ref="E7:F7"/>
    <mergeCell ref="A4:Q4"/>
    <mergeCell ref="A10:H10"/>
    <mergeCell ref="K6:L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R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20" customWidth="1" min="3" max="3"/>
    <col width="18" customWidth="1" min="4" max="4"/>
    <col width="22" customWidth="1" min="5" max="5"/>
    <col width="22" customWidth="1" min="6" max="6"/>
    <col width="13" customWidth="1" min="7" max="7"/>
    <col width="13" customWidth="1" min="8" max="8"/>
    <col width="14" customWidth="1" min="9" max="9"/>
    <col width="16" customWidth="1" min="10" max="10"/>
    <col width="16" customWidth="1" min="11" max="11"/>
    <col width="14" customWidth="1" min="12" max="12"/>
    <col width="20" customWidth="1" min="13" max="13"/>
    <col width="14" customWidth="1" min="14" max="14"/>
    <col width="12" customWidth="1" min="15" max="15"/>
    <col width="14" customWidth="1" min="16" max="16"/>
    <col width="14" customWidth="1" min="17" max="17"/>
    <col width="30" customWidth="1" min="18" max="18"/>
  </cols>
  <sheetData>
    <row r="1" ht="30" customHeight="1">
      <c r="A1" s="17" t="inlineStr">
        <is>
          <t>Event ID</t>
        </is>
      </c>
      <c r="B1" s="17" t="inlineStr">
        <is>
          <t>Event Name</t>
        </is>
      </c>
      <c r="C1" s="17" t="inlineStr">
        <is>
          <t>Therapeutic Area</t>
        </is>
      </c>
      <c r="D1" s="17" t="inlineStr">
        <is>
          <t>Product</t>
        </is>
      </c>
      <c r="E1" s="17" t="inlineStr">
        <is>
          <t>Business Unit</t>
        </is>
      </c>
      <c r="F1" s="17" t="inlineStr">
        <is>
          <t>Event Type</t>
        </is>
      </c>
      <c r="G1" s="17" t="inlineStr">
        <is>
          <t>Start Date</t>
        </is>
      </c>
      <c r="H1" s="17" t="inlineStr">
        <is>
          <t>End Date</t>
        </is>
      </c>
      <c r="I1" s="17" t="inlineStr">
        <is>
          <t>Duration (Days)</t>
        </is>
      </c>
      <c r="J1" s="17" t="inlineStr">
        <is>
          <t>City</t>
        </is>
      </c>
      <c r="K1" s="17" t="inlineStr">
        <is>
          <t>Country</t>
        </is>
      </c>
      <c r="L1" s="17" t="inlineStr">
        <is>
          <t>Status</t>
        </is>
      </c>
      <c r="M1" s="17" t="inlineStr">
        <is>
          <t>Responsible Owner</t>
        </is>
      </c>
      <c r="N1" s="17" t="inlineStr">
        <is>
          <t>Cost Center</t>
        </is>
      </c>
      <c r="O1" s="17" t="inlineStr">
        <is>
          <t>GL Account</t>
        </is>
      </c>
      <c r="P1" s="17" t="inlineStr">
        <is>
          <t>Created Date</t>
        </is>
      </c>
      <c r="Q1" s="17" t="inlineStr">
        <is>
          <t>Last Modified</t>
        </is>
      </c>
      <c r="R1" s="17" t="inlineStr">
        <is>
          <t>Notes</t>
        </is>
      </c>
    </row>
    <row r="2" ht="18" customHeight="1">
      <c r="A2" s="45" t="inlineStr">
        <is>
          <t>EVT-2025-001</t>
        </is>
      </c>
      <c r="B2" s="46" t="inlineStr">
        <is>
          <t>Cordavex Internal Meeting Vienna Apr 2025</t>
        </is>
      </c>
      <c r="C2" s="47" t="inlineStr">
        <is>
          <t>Cardiology</t>
        </is>
      </c>
      <c r="D2" s="47" t="inlineStr">
        <is>
          <t>Cordavex</t>
        </is>
      </c>
      <c r="E2" s="47" t="inlineStr">
        <is>
          <t>BU Cardiovascular</t>
        </is>
      </c>
      <c r="F2" s="47" t="inlineStr">
        <is>
          <t>Internal Meeting</t>
        </is>
      </c>
      <c r="G2" s="48" t="n">
        <v>45772</v>
      </c>
      <c r="H2" s="48" t="n">
        <v>45773</v>
      </c>
      <c r="I2" s="49" t="n">
        <v>2</v>
      </c>
      <c r="J2" s="47" t="inlineStr">
        <is>
          <t>Vienna</t>
        </is>
      </c>
      <c r="K2" s="47" t="inlineStr">
        <is>
          <t>Austria</t>
        </is>
      </c>
      <c r="L2" s="50" t="inlineStr">
        <is>
          <t>Completed</t>
        </is>
      </c>
      <c r="M2" s="46" t="inlineStr">
        <is>
          <t>Maria Kowalski</t>
        </is>
      </c>
      <c r="N2" s="47" t="inlineStr">
        <is>
          <t>CC-1500</t>
        </is>
      </c>
      <c r="O2" s="47" t="inlineStr">
        <is>
          <t>GL-6311</t>
        </is>
      </c>
      <c r="P2" s="48" t="n">
        <v>45665</v>
      </c>
      <c r="Q2" s="48" t="n">
        <v>45685</v>
      </c>
      <c r="R2" s="46" t="inlineStr"/>
    </row>
    <row r="3" ht="18" customHeight="1">
      <c r="A3" s="45" t="inlineStr">
        <is>
          <t>EVT-2025-002</t>
        </is>
      </c>
      <c r="B3" s="51" t="inlineStr">
        <is>
          <t>Eplitazan Investigator Meeting Barcelona Jan 2025</t>
        </is>
      </c>
      <c r="C3" s="52" t="inlineStr">
        <is>
          <t>Cardiology</t>
        </is>
      </c>
      <c r="D3" s="52" t="inlineStr">
        <is>
          <t>Eplitazan</t>
        </is>
      </c>
      <c r="E3" s="52" t="inlineStr">
        <is>
          <t>BU Cardiovascular</t>
        </is>
      </c>
      <c r="F3" s="52" t="inlineStr">
        <is>
          <t>Investigator Meeting</t>
        </is>
      </c>
      <c r="G3" s="53" t="n">
        <v>45673</v>
      </c>
      <c r="H3" s="53" t="n">
        <v>45674</v>
      </c>
      <c r="I3" s="54" t="n">
        <v>2</v>
      </c>
      <c r="J3" s="52" t="inlineStr">
        <is>
          <t>Barcelona</t>
        </is>
      </c>
      <c r="K3" s="52" t="inlineStr">
        <is>
          <t>Spain</t>
        </is>
      </c>
      <c r="L3" s="55" t="inlineStr">
        <is>
          <t>Confirmed</t>
        </is>
      </c>
      <c r="M3" s="51" t="inlineStr">
        <is>
          <t>Lena Schneider</t>
        </is>
      </c>
      <c r="N3" s="52" t="inlineStr">
        <is>
          <t>CC-8308</t>
        </is>
      </c>
      <c r="O3" s="52" t="inlineStr">
        <is>
          <t>GL-6311</t>
        </is>
      </c>
      <c r="P3" s="53" t="n">
        <v>45502</v>
      </c>
      <c r="Q3" s="53" t="n">
        <v>45522</v>
      </c>
      <c r="R3" s="51" t="inlineStr"/>
    </row>
    <row r="4" ht="18" customHeight="1">
      <c r="A4" s="45" t="inlineStr">
        <is>
          <t>EVT-2025-003</t>
        </is>
      </c>
      <c r="B4" s="46" t="inlineStr">
        <is>
          <t>Influximab Webinar Athens Apr 2025</t>
        </is>
      </c>
      <c r="C4" s="47" t="inlineStr">
        <is>
          <t>Immunology</t>
        </is>
      </c>
      <c r="D4" s="47" t="inlineStr">
        <is>
          <t>Influximab</t>
        </is>
      </c>
      <c r="E4" s="47" t="inlineStr">
        <is>
          <t>BU Immunology</t>
        </is>
      </c>
      <c r="F4" s="47" t="inlineStr">
        <is>
          <t>Webinar</t>
        </is>
      </c>
      <c r="G4" s="48" t="n">
        <v>45770</v>
      </c>
      <c r="H4" s="48" t="n">
        <v>45772</v>
      </c>
      <c r="I4" s="49" t="n">
        <v>3</v>
      </c>
      <c r="J4" s="47" t="inlineStr">
        <is>
          <t>Athens</t>
        </is>
      </c>
      <c r="K4" s="47" t="inlineStr">
        <is>
          <t>Greece</t>
        </is>
      </c>
      <c r="L4" s="50" t="inlineStr">
        <is>
          <t>Completed</t>
        </is>
      </c>
      <c r="M4" s="46" t="inlineStr">
        <is>
          <t>Ana García</t>
        </is>
      </c>
      <c r="N4" s="47" t="inlineStr">
        <is>
          <t>CC-6730</t>
        </is>
      </c>
      <c r="O4" s="47" t="inlineStr">
        <is>
          <t>GL-6312</t>
        </is>
      </c>
      <c r="P4" s="48" t="n">
        <v>45690</v>
      </c>
      <c r="Q4" s="48" t="n">
        <v>45703</v>
      </c>
      <c r="R4" s="46" t="inlineStr"/>
    </row>
    <row r="5" ht="18" customHeight="1">
      <c r="A5" s="45" t="inlineStr">
        <is>
          <t>EVT-2025-004</t>
        </is>
      </c>
      <c r="B5" s="51" t="inlineStr">
        <is>
          <t>Cognivex Investigator Meeting Stockholm May 2025</t>
        </is>
      </c>
      <c r="C5" s="52" t="inlineStr">
        <is>
          <t>Neurology</t>
        </is>
      </c>
      <c r="D5" s="52" t="inlineStr">
        <is>
          <t>Cognivex</t>
        </is>
      </c>
      <c r="E5" s="52" t="inlineStr">
        <is>
          <t>BU Neuroscience</t>
        </is>
      </c>
      <c r="F5" s="52" t="inlineStr">
        <is>
          <t>Investigator Meeting</t>
        </is>
      </c>
      <c r="G5" s="53" t="n">
        <v>45800</v>
      </c>
      <c r="H5" s="53" t="n">
        <v>45802</v>
      </c>
      <c r="I5" s="54" t="n">
        <v>3</v>
      </c>
      <c r="J5" s="52" t="inlineStr">
        <is>
          <t>Stockholm</t>
        </is>
      </c>
      <c r="K5" s="52" t="inlineStr">
        <is>
          <t>Sweden</t>
        </is>
      </c>
      <c r="L5" s="55" t="inlineStr">
        <is>
          <t>Confirmed</t>
        </is>
      </c>
      <c r="M5" s="51" t="inlineStr">
        <is>
          <t>Lucas Dupont</t>
        </is>
      </c>
      <c r="N5" s="52" t="inlineStr">
        <is>
          <t>CC-2480</t>
        </is>
      </c>
      <c r="O5" s="52" t="inlineStr">
        <is>
          <t>GL-6312</t>
        </is>
      </c>
      <c r="P5" s="53" t="n">
        <v>45737</v>
      </c>
      <c r="Q5" s="53" t="n">
        <v>45754</v>
      </c>
      <c r="R5" s="51" t="inlineStr"/>
    </row>
    <row r="6" ht="18" customHeight="1">
      <c r="A6" s="45" t="inlineStr">
        <is>
          <t>EVT-2025-005</t>
        </is>
      </c>
      <c r="B6" s="46" t="inlineStr">
        <is>
          <t>Hemaflex Launch Event Brussels Nov 2025</t>
        </is>
      </c>
      <c r="C6" s="47" t="inlineStr">
        <is>
          <t>Hematology</t>
        </is>
      </c>
      <c r="D6" s="47" t="inlineStr">
        <is>
          <t>Hemaflex</t>
        </is>
      </c>
      <c r="E6" s="47" t="inlineStr">
        <is>
          <t>BU Oncology</t>
        </is>
      </c>
      <c r="F6" s="47" t="inlineStr">
        <is>
          <t>Launch Event</t>
        </is>
      </c>
      <c r="G6" s="48" t="n">
        <v>45967</v>
      </c>
      <c r="H6" s="48" t="n">
        <v>45969</v>
      </c>
      <c r="I6" s="49" t="n">
        <v>3</v>
      </c>
      <c r="J6" s="47" t="inlineStr">
        <is>
          <t>Brussels</t>
        </is>
      </c>
      <c r="K6" s="47" t="inlineStr">
        <is>
          <t>Belgium</t>
        </is>
      </c>
      <c r="L6" s="56" t="inlineStr">
        <is>
          <t>Cancelled</t>
        </is>
      </c>
      <c r="M6" s="46" t="inlineStr">
        <is>
          <t>Thomas Dubois</t>
        </is>
      </c>
      <c r="N6" s="47" t="inlineStr">
        <is>
          <t>CC-1813</t>
        </is>
      </c>
      <c r="O6" s="47" t="inlineStr">
        <is>
          <t>GL-6311</t>
        </is>
      </c>
      <c r="P6" s="48" t="n">
        <v>45798</v>
      </c>
      <c r="Q6" s="48" t="n">
        <v>45821</v>
      </c>
      <c r="R6" s="46" t="inlineStr"/>
    </row>
    <row r="7" ht="18" customHeight="1">
      <c r="A7" s="45" t="inlineStr">
        <is>
          <t>EVT-2025-006</t>
        </is>
      </c>
      <c r="B7" s="51" t="inlineStr">
        <is>
          <t>Miotrex Advisory Board Istanbul May 2025</t>
        </is>
      </c>
      <c r="C7" s="52" t="inlineStr">
        <is>
          <t>Cardiology</t>
        </is>
      </c>
      <c r="D7" s="52" t="inlineStr">
        <is>
          <t>Miotrex</t>
        </is>
      </c>
      <c r="E7" s="52" t="inlineStr">
        <is>
          <t>BU Cardiovascular</t>
        </is>
      </c>
      <c r="F7" s="52" t="inlineStr">
        <is>
          <t>Advisory Board</t>
        </is>
      </c>
      <c r="G7" s="53" t="n">
        <v>45808</v>
      </c>
      <c r="H7" s="53" t="n">
        <v>45810</v>
      </c>
      <c r="I7" s="54" t="n">
        <v>3</v>
      </c>
      <c r="J7" s="52" t="inlineStr">
        <is>
          <t>Istanbul</t>
        </is>
      </c>
      <c r="K7" s="52" t="inlineStr">
        <is>
          <t>Turkey</t>
        </is>
      </c>
      <c r="L7" s="50" t="inlineStr">
        <is>
          <t>Completed</t>
        </is>
      </c>
      <c r="M7" s="51" t="inlineStr">
        <is>
          <t>Thomas Dubois</t>
        </is>
      </c>
      <c r="N7" s="52" t="inlineStr">
        <is>
          <t>CC-4511</t>
        </is>
      </c>
      <c r="O7" s="52" t="inlineStr">
        <is>
          <t>GL-6311</t>
        </is>
      </c>
      <c r="P7" s="53" t="n">
        <v>45666</v>
      </c>
      <c r="Q7" s="53" t="n">
        <v>45678</v>
      </c>
      <c r="R7" s="51" t="inlineStr"/>
    </row>
    <row r="8" ht="18" customHeight="1">
      <c r="A8" s="45" t="inlineStr">
        <is>
          <t>EVT-2025-007</t>
        </is>
      </c>
      <c r="B8" s="46" t="inlineStr">
        <is>
          <t>Bioflair Advisory Board Vienna Feb 2025</t>
        </is>
      </c>
      <c r="C8" s="47" t="inlineStr">
        <is>
          <t>Immunology</t>
        </is>
      </c>
      <c r="D8" s="47" t="inlineStr">
        <is>
          <t>Bioflair</t>
        </is>
      </c>
      <c r="E8" s="47" t="inlineStr">
        <is>
          <t>BU Immunology</t>
        </is>
      </c>
      <c r="F8" s="47" t="inlineStr">
        <is>
          <t>Advisory Board</t>
        </is>
      </c>
      <c r="G8" s="48" t="n">
        <v>45709</v>
      </c>
      <c r="H8" s="48" t="n">
        <v>45711</v>
      </c>
      <c r="I8" s="49" t="n">
        <v>3</v>
      </c>
      <c r="J8" s="47" t="inlineStr">
        <is>
          <t>Vienna</t>
        </is>
      </c>
      <c r="K8" s="47" t="inlineStr">
        <is>
          <t>Austria</t>
        </is>
      </c>
      <c r="L8" s="57" t="inlineStr">
        <is>
          <t>In Progress</t>
        </is>
      </c>
      <c r="M8" s="46" t="inlineStr">
        <is>
          <t>Maria Kowalski</t>
        </is>
      </c>
      <c r="N8" s="47" t="inlineStr">
        <is>
          <t>CC-4387</t>
        </is>
      </c>
      <c r="O8" s="47" t="inlineStr">
        <is>
          <t>GL-6312</t>
        </is>
      </c>
      <c r="P8" s="48" t="n">
        <v>45566</v>
      </c>
      <c r="Q8" s="48" t="n">
        <v>45584</v>
      </c>
      <c r="R8" s="46" t="inlineStr"/>
    </row>
    <row r="9" ht="18" customHeight="1">
      <c r="A9" s="45" t="inlineStr">
        <is>
          <t>EVT-2025-008</t>
        </is>
      </c>
      <c r="B9" s="51" t="inlineStr">
        <is>
          <t>Axotrin Launch Event Amsterdam Dec 2025</t>
        </is>
      </c>
      <c r="C9" s="52" t="inlineStr">
        <is>
          <t>Neurology</t>
        </is>
      </c>
      <c r="D9" s="52" t="inlineStr">
        <is>
          <t>Axotrin</t>
        </is>
      </c>
      <c r="E9" s="52" t="inlineStr">
        <is>
          <t>BU Neuroscience</t>
        </is>
      </c>
      <c r="F9" s="52" t="inlineStr">
        <is>
          <t>Launch Event</t>
        </is>
      </c>
      <c r="G9" s="53" t="n">
        <v>46001</v>
      </c>
      <c r="H9" s="53" t="n">
        <v>46003</v>
      </c>
      <c r="I9" s="54" t="n">
        <v>3</v>
      </c>
      <c r="J9" s="52" t="inlineStr">
        <is>
          <t>Amsterdam</t>
        </is>
      </c>
      <c r="K9" s="52" t="inlineStr">
        <is>
          <t>Netherlands</t>
        </is>
      </c>
      <c r="L9" s="50" t="inlineStr">
        <is>
          <t>Completed</t>
        </is>
      </c>
      <c r="M9" s="51" t="inlineStr">
        <is>
          <t>Maria Kowalski</t>
        </is>
      </c>
      <c r="N9" s="52" t="inlineStr">
        <is>
          <t>CC-9409</t>
        </is>
      </c>
      <c r="O9" s="52" t="inlineStr">
        <is>
          <t>GL-6310</t>
        </is>
      </c>
      <c r="P9" s="53" t="n">
        <v>45831</v>
      </c>
      <c r="Q9" s="53" t="n">
        <v>45860</v>
      </c>
      <c r="R9" s="51" t="inlineStr"/>
    </row>
    <row r="10" ht="18" customHeight="1">
      <c r="A10" s="45" t="inlineStr">
        <is>
          <t>EVT-2025-009</t>
        </is>
      </c>
      <c r="B10" s="46" t="inlineStr">
        <is>
          <t>Cognivex KOL Meeting Milan Aug 2025</t>
        </is>
      </c>
      <c r="C10" s="47" t="inlineStr">
        <is>
          <t>Neurology</t>
        </is>
      </c>
      <c r="D10" s="47" t="inlineStr">
        <is>
          <t>Cognivex</t>
        </is>
      </c>
      <c r="E10" s="47" t="inlineStr">
        <is>
          <t>BU Neuroscience</t>
        </is>
      </c>
      <c r="F10" s="47" t="inlineStr">
        <is>
          <t>KOL Meeting</t>
        </is>
      </c>
      <c r="G10" s="48" t="n">
        <v>45894</v>
      </c>
      <c r="H10" s="48" t="n">
        <v>45896</v>
      </c>
      <c r="I10" s="49" t="n">
        <v>3</v>
      </c>
      <c r="J10" s="47" t="inlineStr">
        <is>
          <t>Milan</t>
        </is>
      </c>
      <c r="K10" s="47" t="inlineStr">
        <is>
          <t>Italy</t>
        </is>
      </c>
      <c r="L10" s="55" t="inlineStr">
        <is>
          <t>Confirmed</t>
        </is>
      </c>
      <c r="M10" s="46" t="inlineStr">
        <is>
          <t>Maria Kowalski</t>
        </is>
      </c>
      <c r="N10" s="47" t="inlineStr">
        <is>
          <t>CC-1145</t>
        </is>
      </c>
      <c r="O10" s="47" t="inlineStr">
        <is>
          <t>GL-6315</t>
        </is>
      </c>
      <c r="P10" s="48" t="n">
        <v>45718</v>
      </c>
      <c r="Q10" s="48" t="n">
        <v>45727</v>
      </c>
      <c r="R10" s="46" t="inlineStr"/>
    </row>
    <row r="11" ht="18" customHeight="1">
      <c r="A11" s="45" t="inlineStr">
        <is>
          <t>EVT-2025-010</t>
        </is>
      </c>
      <c r="B11" s="51" t="inlineStr">
        <is>
          <t>Influximab Launch Event Barcelona Apr 2025</t>
        </is>
      </c>
      <c r="C11" s="52" t="inlineStr">
        <is>
          <t>Immunology</t>
        </is>
      </c>
      <c r="D11" s="52" t="inlineStr">
        <is>
          <t>Influximab</t>
        </is>
      </c>
      <c r="E11" s="52" t="inlineStr">
        <is>
          <t>BU Immunology</t>
        </is>
      </c>
      <c r="F11" s="52" t="inlineStr">
        <is>
          <t>Launch Event</t>
        </is>
      </c>
      <c r="G11" s="53" t="n">
        <v>45775</v>
      </c>
      <c r="H11" s="53" t="n">
        <v>45776</v>
      </c>
      <c r="I11" s="54" t="n">
        <v>2</v>
      </c>
      <c r="J11" s="52" t="inlineStr">
        <is>
          <t>Barcelona</t>
        </is>
      </c>
      <c r="K11" s="52" t="inlineStr">
        <is>
          <t>Spain</t>
        </is>
      </c>
      <c r="L11" s="56" t="inlineStr">
        <is>
          <t>Cancelled</t>
        </is>
      </c>
      <c r="M11" s="51" t="inlineStr">
        <is>
          <t>Emma Johansson</t>
        </is>
      </c>
      <c r="N11" s="52" t="inlineStr">
        <is>
          <t>CC-3837</t>
        </is>
      </c>
      <c r="O11" s="52" t="inlineStr">
        <is>
          <t>GL-6320</t>
        </is>
      </c>
      <c r="P11" s="53" t="n">
        <v>45613</v>
      </c>
      <c r="Q11" s="53" t="n">
        <v>45618</v>
      </c>
      <c r="R11" s="51" t="inlineStr"/>
    </row>
    <row r="12" ht="18" customHeight="1">
      <c r="A12" s="45" t="inlineStr">
        <is>
          <t>EVT-2025-011</t>
        </is>
      </c>
      <c r="B12" s="46" t="inlineStr">
        <is>
          <t>Influximab Launch Event Amsterdam Dec 2025</t>
        </is>
      </c>
      <c r="C12" s="47" t="inlineStr">
        <is>
          <t>Immunology</t>
        </is>
      </c>
      <c r="D12" s="47" t="inlineStr">
        <is>
          <t>Influximab</t>
        </is>
      </c>
      <c r="E12" s="47" t="inlineStr">
        <is>
          <t>BU Immunology</t>
        </is>
      </c>
      <c r="F12" s="47" t="inlineStr">
        <is>
          <t>Launch Event</t>
        </is>
      </c>
      <c r="G12" s="48" t="n">
        <v>45993</v>
      </c>
      <c r="H12" s="48" t="n">
        <v>45995</v>
      </c>
      <c r="I12" s="49" t="n">
        <v>3</v>
      </c>
      <c r="J12" s="47" t="inlineStr">
        <is>
          <t>Amsterdam</t>
        </is>
      </c>
      <c r="K12" s="47" t="inlineStr">
        <is>
          <t>Netherlands</t>
        </is>
      </c>
      <c r="L12" s="50" t="inlineStr">
        <is>
          <t>Completed</t>
        </is>
      </c>
      <c r="M12" s="46" t="inlineStr">
        <is>
          <t>Maria Kowalski</t>
        </is>
      </c>
      <c r="N12" s="47" t="inlineStr">
        <is>
          <t>CC-4666</t>
        </is>
      </c>
      <c r="O12" s="47" t="inlineStr">
        <is>
          <t>GL-6312</t>
        </is>
      </c>
      <c r="P12" s="48" t="n">
        <v>45856</v>
      </c>
      <c r="Q12" s="48" t="n">
        <v>45886</v>
      </c>
      <c r="R12" s="46" t="inlineStr"/>
    </row>
    <row r="13" ht="18" customHeight="1">
      <c r="A13" s="45" t="inlineStr">
        <is>
          <t>EVT-2025-012</t>
        </is>
      </c>
      <c r="B13" s="51" t="inlineStr">
        <is>
          <t>Rarzolene KOL Meeting Istanbul Oct 2025</t>
        </is>
      </c>
      <c r="C13" s="52" t="inlineStr">
        <is>
          <t>Rare Diseases</t>
        </is>
      </c>
      <c r="D13" s="52" t="inlineStr">
        <is>
          <t>Rarzolene</t>
        </is>
      </c>
      <c r="E13" s="52" t="inlineStr">
        <is>
          <t>BU Rare Diseases</t>
        </is>
      </c>
      <c r="F13" s="52" t="inlineStr">
        <is>
          <t>KOL Meeting</t>
        </is>
      </c>
      <c r="G13" s="53" t="n">
        <v>45933</v>
      </c>
      <c r="H13" s="53" t="n">
        <v>45935</v>
      </c>
      <c r="I13" s="54" t="n">
        <v>3</v>
      </c>
      <c r="J13" s="52" t="inlineStr">
        <is>
          <t>Istanbul</t>
        </is>
      </c>
      <c r="K13" s="52" t="inlineStr">
        <is>
          <t>Turkey</t>
        </is>
      </c>
      <c r="L13" s="50" t="inlineStr">
        <is>
          <t>Completed</t>
        </is>
      </c>
      <c r="M13" s="51" t="inlineStr">
        <is>
          <t>Emma Johansson</t>
        </is>
      </c>
      <c r="N13" s="52" t="inlineStr">
        <is>
          <t>CC-6004</t>
        </is>
      </c>
      <c r="O13" s="52" t="inlineStr">
        <is>
          <t>GL-6312</t>
        </is>
      </c>
      <c r="P13" s="53" t="n">
        <v>45819</v>
      </c>
      <c r="Q13" s="53" t="n">
        <v>45836</v>
      </c>
      <c r="R13" s="51" t="inlineStr"/>
    </row>
    <row r="14" ht="18" customHeight="1">
      <c r="A14" s="45" t="inlineStr">
        <is>
          <t>EVT-2025-013</t>
        </is>
      </c>
      <c r="B14" s="46" t="inlineStr">
        <is>
          <t>Thrombovex KOL Meeting Berlin Sep 2025</t>
        </is>
      </c>
      <c r="C14" s="47" t="inlineStr">
        <is>
          <t>Hematology</t>
        </is>
      </c>
      <c r="D14" s="47" t="inlineStr">
        <is>
          <t>Thrombovex</t>
        </is>
      </c>
      <c r="E14" s="47" t="inlineStr">
        <is>
          <t>BU Oncology</t>
        </is>
      </c>
      <c r="F14" s="47" t="inlineStr">
        <is>
          <t>KOL Meeting</t>
        </is>
      </c>
      <c r="G14" s="48" t="n">
        <v>45918</v>
      </c>
      <c r="H14" s="48" t="n">
        <v>45920</v>
      </c>
      <c r="I14" s="49" t="n">
        <v>3</v>
      </c>
      <c r="J14" s="47" t="inlineStr">
        <is>
          <t>Berlin</t>
        </is>
      </c>
      <c r="K14" s="47" t="inlineStr">
        <is>
          <t>Germany</t>
        </is>
      </c>
      <c r="L14" s="58" t="inlineStr">
        <is>
          <t>Planning</t>
        </is>
      </c>
      <c r="M14" s="46" t="inlineStr">
        <is>
          <t>Ana García</t>
        </is>
      </c>
      <c r="N14" s="47" t="inlineStr">
        <is>
          <t>CC-6713</t>
        </is>
      </c>
      <c r="O14" s="47" t="inlineStr">
        <is>
          <t>GL-6315</t>
        </is>
      </c>
      <c r="P14" s="48" t="n">
        <v>45826</v>
      </c>
      <c r="Q14" s="48" t="n">
        <v>45837</v>
      </c>
      <c r="R14" s="46" t="inlineStr"/>
    </row>
    <row r="15" ht="18" customHeight="1">
      <c r="A15" s="45" t="inlineStr">
        <is>
          <t>EVT-2025-014</t>
        </is>
      </c>
      <c r="B15" s="51" t="inlineStr">
        <is>
          <t>Cognivex Speaker Program Athens Nov 2025</t>
        </is>
      </c>
      <c r="C15" s="52" t="inlineStr">
        <is>
          <t>Neurology</t>
        </is>
      </c>
      <c r="D15" s="52" t="inlineStr">
        <is>
          <t>Cognivex</t>
        </is>
      </c>
      <c r="E15" s="52" t="inlineStr">
        <is>
          <t>BU Neuroscience</t>
        </is>
      </c>
      <c r="F15" s="52" t="inlineStr">
        <is>
          <t>Speaker Program</t>
        </is>
      </c>
      <c r="G15" s="53" t="n">
        <v>45963</v>
      </c>
      <c r="H15" s="53" t="n">
        <v>45964</v>
      </c>
      <c r="I15" s="54" t="n">
        <v>2</v>
      </c>
      <c r="J15" s="52" t="inlineStr">
        <is>
          <t>Athens</t>
        </is>
      </c>
      <c r="K15" s="52" t="inlineStr">
        <is>
          <t>Greece</t>
        </is>
      </c>
      <c r="L15" s="50" t="inlineStr">
        <is>
          <t>Completed</t>
        </is>
      </c>
      <c r="M15" s="51" t="inlineStr">
        <is>
          <t>David O'Brien</t>
        </is>
      </c>
      <c r="N15" s="52" t="inlineStr">
        <is>
          <t>CC-8646</t>
        </is>
      </c>
      <c r="O15" s="52" t="inlineStr">
        <is>
          <t>GL-6312</t>
        </is>
      </c>
      <c r="P15" s="53" t="n">
        <v>45817</v>
      </c>
      <c r="Q15" s="53" t="n">
        <v>45838</v>
      </c>
      <c r="R15" s="51" t="inlineStr"/>
    </row>
    <row r="16" ht="18" customHeight="1">
      <c r="A16" s="45" t="inlineStr">
        <is>
          <t>EVT-2025-015</t>
        </is>
      </c>
      <c r="B16" s="46" t="inlineStr">
        <is>
          <t>Orphavex Congress Paris Dec 2025</t>
        </is>
      </c>
      <c r="C16" s="47" t="inlineStr">
        <is>
          <t>Rare Diseases</t>
        </is>
      </c>
      <c r="D16" s="47" t="inlineStr">
        <is>
          <t>Orphavex</t>
        </is>
      </c>
      <c r="E16" s="47" t="inlineStr">
        <is>
          <t>BU Rare Diseases</t>
        </is>
      </c>
      <c r="F16" s="47" t="inlineStr">
        <is>
          <t>Congress</t>
        </is>
      </c>
      <c r="G16" s="48" t="n">
        <v>46007</v>
      </c>
      <c r="H16" s="48" t="n">
        <v>46012</v>
      </c>
      <c r="I16" s="49" t="n">
        <v>6</v>
      </c>
      <c r="J16" s="47" t="inlineStr">
        <is>
          <t>Paris</t>
        </is>
      </c>
      <c r="K16" s="47" t="inlineStr">
        <is>
          <t>France</t>
        </is>
      </c>
      <c r="L16" s="50" t="inlineStr">
        <is>
          <t>Completed</t>
        </is>
      </c>
      <c r="M16" s="46" t="inlineStr">
        <is>
          <t>Maria Kowalski</t>
        </is>
      </c>
      <c r="N16" s="47" t="inlineStr">
        <is>
          <t>CC-7506</t>
        </is>
      </c>
      <c r="O16" s="47" t="inlineStr">
        <is>
          <t>GL-6320</t>
        </is>
      </c>
      <c r="P16" s="48" t="n">
        <v>45934</v>
      </c>
      <c r="Q16" s="48" t="n">
        <v>45939</v>
      </c>
      <c r="R16" s="46" t="inlineStr"/>
    </row>
    <row r="17" ht="18" customHeight="1">
      <c r="A17" s="45" t="inlineStr">
        <is>
          <t>EVT-2025-016</t>
        </is>
      </c>
      <c r="B17" s="51" t="inlineStr">
        <is>
          <t>Genetrix Speaker Program Warsaw Jan 2025</t>
        </is>
      </c>
      <c r="C17" s="52" t="inlineStr">
        <is>
          <t>Rare Diseases</t>
        </is>
      </c>
      <c r="D17" s="52" t="inlineStr">
        <is>
          <t>Genetrix</t>
        </is>
      </c>
      <c r="E17" s="52" t="inlineStr">
        <is>
          <t>BU Rare Diseases</t>
        </is>
      </c>
      <c r="F17" s="52" t="inlineStr">
        <is>
          <t>Speaker Program</t>
        </is>
      </c>
      <c r="G17" s="53" t="n">
        <v>45659</v>
      </c>
      <c r="H17" s="53" t="n">
        <v>45661</v>
      </c>
      <c r="I17" s="54" t="n">
        <v>3</v>
      </c>
      <c r="J17" s="52" t="inlineStr">
        <is>
          <t>Warsaw</t>
        </is>
      </c>
      <c r="K17" s="52" t="inlineStr">
        <is>
          <t>Poland</t>
        </is>
      </c>
      <c r="L17" s="59" t="inlineStr">
        <is>
          <t>Closed</t>
        </is>
      </c>
      <c r="M17" s="51" t="inlineStr">
        <is>
          <t>Sophie Müller</t>
        </is>
      </c>
      <c r="N17" s="52" t="inlineStr">
        <is>
          <t>CC-9380</t>
        </is>
      </c>
      <c r="O17" s="52" t="inlineStr">
        <is>
          <t>GL-6312</t>
        </is>
      </c>
      <c r="P17" s="53" t="n">
        <v>45528</v>
      </c>
      <c r="Q17" s="53" t="n">
        <v>45553</v>
      </c>
      <c r="R17" s="51" t="inlineStr"/>
    </row>
    <row r="18" ht="18" customHeight="1">
      <c r="A18" s="45" t="inlineStr">
        <is>
          <t>EVT-2025-017</t>
        </is>
      </c>
      <c r="B18" s="46" t="inlineStr">
        <is>
          <t>Eplitazan Internal Meeting Budapest Nov 2025</t>
        </is>
      </c>
      <c r="C18" s="47" t="inlineStr">
        <is>
          <t>Cardiology</t>
        </is>
      </c>
      <c r="D18" s="47" t="inlineStr">
        <is>
          <t>Eplitazan</t>
        </is>
      </c>
      <c r="E18" s="47" t="inlineStr">
        <is>
          <t>BU Cardiovascular</t>
        </is>
      </c>
      <c r="F18" s="47" t="inlineStr">
        <is>
          <t>Internal Meeting</t>
        </is>
      </c>
      <c r="G18" s="48" t="n">
        <v>45969</v>
      </c>
      <c r="H18" s="48" t="n">
        <v>45970</v>
      </c>
      <c r="I18" s="49" t="n">
        <v>2</v>
      </c>
      <c r="J18" s="47" t="inlineStr">
        <is>
          <t>Budapest</t>
        </is>
      </c>
      <c r="K18" s="47" t="inlineStr">
        <is>
          <t>Hungary</t>
        </is>
      </c>
      <c r="L18" s="55" t="inlineStr">
        <is>
          <t>Confirmed</t>
        </is>
      </c>
      <c r="M18" s="46" t="inlineStr">
        <is>
          <t>Sophie Müller</t>
        </is>
      </c>
      <c r="N18" s="47" t="inlineStr">
        <is>
          <t>CC-5631</t>
        </is>
      </c>
      <c r="O18" s="47" t="inlineStr">
        <is>
          <t>GL-6312</t>
        </is>
      </c>
      <c r="P18" s="48" t="n">
        <v>45822</v>
      </c>
      <c r="Q18" s="48" t="n">
        <v>45830</v>
      </c>
      <c r="R18" s="46" t="inlineStr"/>
    </row>
    <row r="19" ht="18" customHeight="1">
      <c r="A19" s="45" t="inlineStr">
        <is>
          <t>EVT-2025-018</t>
        </is>
      </c>
      <c r="B19" s="51" t="inlineStr">
        <is>
          <t>Caprexosin Launch Event Prague Jan 2025</t>
        </is>
      </c>
      <c r="C19" s="52" t="inlineStr">
        <is>
          <t>Oncology</t>
        </is>
      </c>
      <c r="D19" s="52" t="inlineStr">
        <is>
          <t>Caprexosin</t>
        </is>
      </c>
      <c r="E19" s="52" t="inlineStr">
        <is>
          <t>BU Oncology</t>
        </is>
      </c>
      <c r="F19" s="52" t="inlineStr">
        <is>
          <t>Launch Event</t>
        </is>
      </c>
      <c r="G19" s="53" t="n">
        <v>45667</v>
      </c>
      <c r="H19" s="53" t="n">
        <v>45668</v>
      </c>
      <c r="I19" s="54" t="n">
        <v>2</v>
      </c>
      <c r="J19" s="52" t="inlineStr">
        <is>
          <t>Prague</t>
        </is>
      </c>
      <c r="K19" s="52" t="inlineStr">
        <is>
          <t>Czech Republic</t>
        </is>
      </c>
      <c r="L19" s="59" t="inlineStr">
        <is>
          <t>Closed</t>
        </is>
      </c>
      <c r="M19" s="51" t="inlineStr">
        <is>
          <t>Isabel Ferreira</t>
        </is>
      </c>
      <c r="N19" s="52" t="inlineStr">
        <is>
          <t>CC-8892</t>
        </is>
      </c>
      <c r="O19" s="52" t="inlineStr">
        <is>
          <t>GL-6310</t>
        </is>
      </c>
      <c r="P19" s="53" t="n">
        <v>45564</v>
      </c>
      <c r="Q19" s="53" t="n">
        <v>45577</v>
      </c>
      <c r="R19" s="51" t="inlineStr"/>
    </row>
    <row r="20" ht="18" customHeight="1">
      <c r="A20" s="45" t="inlineStr">
        <is>
          <t>EVT-2025-019</t>
        </is>
      </c>
      <c r="B20" s="46" t="inlineStr">
        <is>
          <t>Influximab Advisory Board London Sep 2025</t>
        </is>
      </c>
      <c r="C20" s="47" t="inlineStr">
        <is>
          <t>Immunology</t>
        </is>
      </c>
      <c r="D20" s="47" t="inlineStr">
        <is>
          <t>Influximab</t>
        </is>
      </c>
      <c r="E20" s="47" t="inlineStr">
        <is>
          <t>BU Immunology</t>
        </is>
      </c>
      <c r="F20" s="47" t="inlineStr">
        <is>
          <t>Advisory Board</t>
        </is>
      </c>
      <c r="G20" s="48" t="n">
        <v>45906</v>
      </c>
      <c r="H20" s="48" t="n">
        <v>45907</v>
      </c>
      <c r="I20" s="49" t="n">
        <v>2</v>
      </c>
      <c r="J20" s="47" t="inlineStr">
        <is>
          <t>London</t>
        </is>
      </c>
      <c r="K20" s="47" t="inlineStr">
        <is>
          <t>UK</t>
        </is>
      </c>
      <c r="L20" s="59" t="inlineStr">
        <is>
          <t>Closed</t>
        </is>
      </c>
      <c r="M20" s="46" t="inlineStr">
        <is>
          <t>Lena Schneider</t>
        </is>
      </c>
      <c r="N20" s="47" t="inlineStr">
        <is>
          <t>CC-6327</t>
        </is>
      </c>
      <c r="O20" s="47" t="inlineStr">
        <is>
          <t>GL-6312</t>
        </is>
      </c>
      <c r="P20" s="48" t="n">
        <v>45813</v>
      </c>
      <c r="Q20" s="48" t="n">
        <v>45838</v>
      </c>
      <c r="R20" s="46" t="inlineStr"/>
    </row>
    <row r="21" ht="18" customHeight="1">
      <c r="A21" s="45" t="inlineStr">
        <is>
          <t>EVT-2025-020</t>
        </is>
      </c>
      <c r="B21" s="51" t="inlineStr">
        <is>
          <t>Cognivex Symposium Istanbul Mar 2025</t>
        </is>
      </c>
      <c r="C21" s="52" t="inlineStr">
        <is>
          <t>Neurology</t>
        </is>
      </c>
      <c r="D21" s="52" t="inlineStr">
        <is>
          <t>Cognivex</t>
        </is>
      </c>
      <c r="E21" s="52" t="inlineStr">
        <is>
          <t>BU Neuroscience</t>
        </is>
      </c>
      <c r="F21" s="52" t="inlineStr">
        <is>
          <t>Symposium</t>
        </is>
      </c>
      <c r="G21" s="53" t="n">
        <v>45742</v>
      </c>
      <c r="H21" s="53" t="n">
        <v>45745</v>
      </c>
      <c r="I21" s="54" t="n">
        <v>4</v>
      </c>
      <c r="J21" s="52" t="inlineStr">
        <is>
          <t>Istanbul</t>
        </is>
      </c>
      <c r="K21" s="52" t="inlineStr">
        <is>
          <t>Turkey</t>
        </is>
      </c>
      <c r="L21" s="50" t="inlineStr">
        <is>
          <t>Completed</t>
        </is>
      </c>
      <c r="M21" s="51" t="inlineStr">
        <is>
          <t>David O'Brien</t>
        </is>
      </c>
      <c r="N21" s="52" t="inlineStr">
        <is>
          <t>CC-5895</t>
        </is>
      </c>
      <c r="O21" s="52" t="inlineStr">
        <is>
          <t>GL-6311</t>
        </is>
      </c>
      <c r="P21" s="53" t="n">
        <v>45663</v>
      </c>
      <c r="Q21" s="53" t="n">
        <v>45684</v>
      </c>
      <c r="R21" s="51" t="inlineStr"/>
    </row>
    <row r="22" ht="18" customHeight="1">
      <c r="A22" s="45" t="inlineStr">
        <is>
          <t>EVT-2025-021</t>
        </is>
      </c>
      <c r="B22" s="46" t="inlineStr">
        <is>
          <t>Influximab KOL Meeting Copenhagen Jul 2025</t>
        </is>
      </c>
      <c r="C22" s="47" t="inlineStr">
        <is>
          <t>Immunology</t>
        </is>
      </c>
      <c r="D22" s="47" t="inlineStr">
        <is>
          <t>Influximab</t>
        </is>
      </c>
      <c r="E22" s="47" t="inlineStr">
        <is>
          <t>BU Immunology</t>
        </is>
      </c>
      <c r="F22" s="47" t="inlineStr">
        <is>
          <t>KOL Meeting</t>
        </is>
      </c>
      <c r="G22" s="48" t="n">
        <v>45862</v>
      </c>
      <c r="H22" s="48" t="n">
        <v>45864</v>
      </c>
      <c r="I22" s="49" t="n">
        <v>3</v>
      </c>
      <c r="J22" s="47" t="inlineStr">
        <is>
          <t>Copenhagen</t>
        </is>
      </c>
      <c r="K22" s="47" t="inlineStr">
        <is>
          <t>Denmark</t>
        </is>
      </c>
      <c r="L22" s="50" t="inlineStr">
        <is>
          <t>Completed</t>
        </is>
      </c>
      <c r="M22" s="46" t="inlineStr">
        <is>
          <t>Lena Schneider</t>
        </is>
      </c>
      <c r="N22" s="47" t="inlineStr">
        <is>
          <t>CC-4937</t>
        </is>
      </c>
      <c r="O22" s="47" t="inlineStr">
        <is>
          <t>GL-6310</t>
        </is>
      </c>
      <c r="P22" s="48" t="n">
        <v>45699</v>
      </c>
      <c r="Q22" s="48" t="n">
        <v>45729</v>
      </c>
      <c r="R22" s="46" t="inlineStr"/>
    </row>
    <row r="23" ht="18" customHeight="1">
      <c r="A23" s="45" t="inlineStr">
        <is>
          <t>EVT-2025-022</t>
        </is>
      </c>
      <c r="B23" s="51" t="inlineStr">
        <is>
          <t>Imunexal Advisory Board Stockholm Jan 2025</t>
        </is>
      </c>
      <c r="C23" s="52" t="inlineStr">
        <is>
          <t>Immunology</t>
        </is>
      </c>
      <c r="D23" s="52" t="inlineStr">
        <is>
          <t>Imunexal</t>
        </is>
      </c>
      <c r="E23" s="52" t="inlineStr">
        <is>
          <t>BU Immunology</t>
        </is>
      </c>
      <c r="F23" s="52" t="inlineStr">
        <is>
          <t>Advisory Board</t>
        </is>
      </c>
      <c r="G23" s="53" t="n">
        <v>45668</v>
      </c>
      <c r="H23" s="53" t="n">
        <v>45669</v>
      </c>
      <c r="I23" s="54" t="n">
        <v>2</v>
      </c>
      <c r="J23" s="52" t="inlineStr">
        <is>
          <t>Stockholm</t>
        </is>
      </c>
      <c r="K23" s="52" t="inlineStr">
        <is>
          <t>Sweden</t>
        </is>
      </c>
      <c r="L23" s="50" t="inlineStr">
        <is>
          <t>Completed</t>
        </is>
      </c>
      <c r="M23" s="51" t="inlineStr">
        <is>
          <t>Ana García</t>
        </is>
      </c>
      <c r="N23" s="52" t="inlineStr">
        <is>
          <t>CC-7620</t>
        </is>
      </c>
      <c r="O23" s="52" t="inlineStr">
        <is>
          <t>GL-6312</t>
        </is>
      </c>
      <c r="P23" s="53" t="n">
        <v>45521</v>
      </c>
      <c r="Q23" s="53" t="n">
        <v>45530</v>
      </c>
      <c r="R23" s="51" t="inlineStr"/>
    </row>
    <row r="24" ht="18" customHeight="1">
      <c r="A24" s="45" t="inlineStr">
        <is>
          <t>EVT-2025-023</t>
        </is>
      </c>
      <c r="B24" s="46" t="inlineStr">
        <is>
          <t>Nexolimab Advisory Board Barcelona Jun 2025</t>
        </is>
      </c>
      <c r="C24" s="47" t="inlineStr">
        <is>
          <t>Oncology</t>
        </is>
      </c>
      <c r="D24" s="47" t="inlineStr">
        <is>
          <t>Nexolimab</t>
        </is>
      </c>
      <c r="E24" s="47" t="inlineStr">
        <is>
          <t>BU Oncology</t>
        </is>
      </c>
      <c r="F24" s="47" t="inlineStr">
        <is>
          <t>Advisory Board</t>
        </is>
      </c>
      <c r="G24" s="48" t="n">
        <v>45827</v>
      </c>
      <c r="H24" s="48" t="n">
        <v>45828</v>
      </c>
      <c r="I24" s="49" t="n">
        <v>2</v>
      </c>
      <c r="J24" s="47" t="inlineStr">
        <is>
          <t>Barcelona</t>
        </is>
      </c>
      <c r="K24" s="47" t="inlineStr">
        <is>
          <t>Spain</t>
        </is>
      </c>
      <c r="L24" s="50" t="inlineStr">
        <is>
          <t>Completed</t>
        </is>
      </c>
      <c r="M24" s="46" t="inlineStr">
        <is>
          <t>Isabel Ferreira</t>
        </is>
      </c>
      <c r="N24" s="47" t="inlineStr">
        <is>
          <t>CC-1417</t>
        </is>
      </c>
      <c r="O24" s="47" t="inlineStr">
        <is>
          <t>GL-6315</t>
        </is>
      </c>
      <c r="P24" s="48" t="n">
        <v>45730</v>
      </c>
      <c r="Q24" s="48" t="n">
        <v>45743</v>
      </c>
      <c r="R24" s="46" t="inlineStr"/>
    </row>
    <row r="25" ht="18" customHeight="1">
      <c r="A25" s="45" t="inlineStr">
        <is>
          <t>EVT-2025-024</t>
        </is>
      </c>
      <c r="B25" s="51" t="inlineStr">
        <is>
          <t>Influximab Speaker Program Dublin Oct 2025</t>
        </is>
      </c>
      <c r="C25" s="52" t="inlineStr">
        <is>
          <t>Immunology</t>
        </is>
      </c>
      <c r="D25" s="52" t="inlineStr">
        <is>
          <t>Influximab</t>
        </is>
      </c>
      <c r="E25" s="52" t="inlineStr">
        <is>
          <t>BU Immunology</t>
        </is>
      </c>
      <c r="F25" s="52" t="inlineStr">
        <is>
          <t>Speaker Program</t>
        </is>
      </c>
      <c r="G25" s="53" t="n">
        <v>45953</v>
      </c>
      <c r="H25" s="53" t="n">
        <v>45955</v>
      </c>
      <c r="I25" s="54" t="n">
        <v>3</v>
      </c>
      <c r="J25" s="52" t="inlineStr">
        <is>
          <t>Dublin</t>
        </is>
      </c>
      <c r="K25" s="52" t="inlineStr">
        <is>
          <t>Ireland</t>
        </is>
      </c>
      <c r="L25" s="55" t="inlineStr">
        <is>
          <t>Confirmed</t>
        </is>
      </c>
      <c r="M25" s="51" t="inlineStr">
        <is>
          <t>Carlos Navarro</t>
        </is>
      </c>
      <c r="N25" s="52" t="inlineStr">
        <is>
          <t>CC-7857</t>
        </is>
      </c>
      <c r="O25" s="52" t="inlineStr">
        <is>
          <t>GL-6315</t>
        </is>
      </c>
      <c r="P25" s="53" t="n">
        <v>45844</v>
      </c>
      <c r="Q25" s="53" t="n">
        <v>45872</v>
      </c>
      <c r="R25" s="51" t="inlineStr"/>
    </row>
    <row r="26" ht="18" customHeight="1">
      <c r="A26" s="45" t="inlineStr">
        <is>
          <t>EVT-2025-025</t>
        </is>
      </c>
      <c r="B26" s="46" t="inlineStr">
        <is>
          <t>Imunexal Advisory Board Athens Jul 2025</t>
        </is>
      </c>
      <c r="C26" s="47" t="inlineStr">
        <is>
          <t>Immunology</t>
        </is>
      </c>
      <c r="D26" s="47" t="inlineStr">
        <is>
          <t>Imunexal</t>
        </is>
      </c>
      <c r="E26" s="47" t="inlineStr">
        <is>
          <t>BU Immunology</t>
        </is>
      </c>
      <c r="F26" s="47" t="inlineStr">
        <is>
          <t>Advisory Board</t>
        </is>
      </c>
      <c r="G26" s="48" t="n">
        <v>45839</v>
      </c>
      <c r="H26" s="48" t="n">
        <v>45841</v>
      </c>
      <c r="I26" s="49" t="n">
        <v>3</v>
      </c>
      <c r="J26" s="47" t="inlineStr">
        <is>
          <t>Athens</t>
        </is>
      </c>
      <c r="K26" s="47" t="inlineStr">
        <is>
          <t>Greece</t>
        </is>
      </c>
      <c r="L26" s="50" t="inlineStr">
        <is>
          <t>Completed</t>
        </is>
      </c>
      <c r="M26" s="46" t="inlineStr">
        <is>
          <t>Thomas Dubois</t>
        </is>
      </c>
      <c r="N26" s="47" t="inlineStr">
        <is>
          <t>CC-1578</t>
        </is>
      </c>
      <c r="O26" s="47" t="inlineStr">
        <is>
          <t>GL-6320</t>
        </is>
      </c>
      <c r="P26" s="48" t="n">
        <v>45689</v>
      </c>
      <c r="Q26" s="48" t="n">
        <v>45712</v>
      </c>
      <c r="R26" s="46" t="inlineStr"/>
    </row>
    <row r="27" ht="18" customHeight="1">
      <c r="A27" s="45" t="inlineStr">
        <is>
          <t>EVT-2025-026</t>
        </is>
      </c>
      <c r="B27" s="51" t="inlineStr">
        <is>
          <t>Cordavex Investigator Meeting Stockholm Feb 2025</t>
        </is>
      </c>
      <c r="C27" s="52" t="inlineStr">
        <is>
          <t>Cardiology</t>
        </is>
      </c>
      <c r="D27" s="52" t="inlineStr">
        <is>
          <t>Cordavex</t>
        </is>
      </c>
      <c r="E27" s="52" t="inlineStr">
        <is>
          <t>BU Cardiovascular</t>
        </is>
      </c>
      <c r="F27" s="52" t="inlineStr">
        <is>
          <t>Investigator Meeting</t>
        </is>
      </c>
      <c r="G27" s="53" t="n">
        <v>45713</v>
      </c>
      <c r="H27" s="53" t="n">
        <v>45715</v>
      </c>
      <c r="I27" s="54" t="n">
        <v>3</v>
      </c>
      <c r="J27" s="52" t="inlineStr">
        <is>
          <t>Stockholm</t>
        </is>
      </c>
      <c r="K27" s="52" t="inlineStr">
        <is>
          <t>Sweden</t>
        </is>
      </c>
      <c r="L27" s="55" t="inlineStr">
        <is>
          <t>Confirmed</t>
        </is>
      </c>
      <c r="M27" s="51" t="inlineStr">
        <is>
          <t>Lena Schneider</t>
        </is>
      </c>
      <c r="N27" s="52" t="inlineStr">
        <is>
          <t>CC-4111</t>
        </is>
      </c>
      <c r="O27" s="52" t="inlineStr">
        <is>
          <t>GL-6312</t>
        </is>
      </c>
      <c r="P27" s="53" t="n">
        <v>45561</v>
      </c>
      <c r="Q27" s="53" t="n">
        <v>45588</v>
      </c>
      <c r="R27" s="51" t="inlineStr"/>
    </row>
    <row r="28" ht="18" customHeight="1">
      <c r="A28" s="45" t="inlineStr">
        <is>
          <t>EVT-2025-027</t>
        </is>
      </c>
      <c r="B28" s="46" t="inlineStr">
        <is>
          <t>Hemaflex Internal Meeting Warsaw May 2025</t>
        </is>
      </c>
      <c r="C28" s="47" t="inlineStr">
        <is>
          <t>Hematology</t>
        </is>
      </c>
      <c r="D28" s="47" t="inlineStr">
        <is>
          <t>Hemaflex</t>
        </is>
      </c>
      <c r="E28" s="47" t="inlineStr">
        <is>
          <t>BU Oncology</t>
        </is>
      </c>
      <c r="F28" s="47" t="inlineStr">
        <is>
          <t>Internal Meeting</t>
        </is>
      </c>
      <c r="G28" s="48" t="n">
        <v>45785</v>
      </c>
      <c r="H28" s="48" t="n">
        <v>45786</v>
      </c>
      <c r="I28" s="49" t="n">
        <v>2</v>
      </c>
      <c r="J28" s="47" t="inlineStr">
        <is>
          <t>Warsaw</t>
        </is>
      </c>
      <c r="K28" s="47" t="inlineStr">
        <is>
          <t>Poland</t>
        </is>
      </c>
      <c r="L28" s="50" t="inlineStr">
        <is>
          <t>Completed</t>
        </is>
      </c>
      <c r="M28" s="46" t="inlineStr">
        <is>
          <t>Lena Schneider</t>
        </is>
      </c>
      <c r="N28" s="47" t="inlineStr">
        <is>
          <t>CC-4643</t>
        </is>
      </c>
      <c r="O28" s="47" t="inlineStr">
        <is>
          <t>GL-6320</t>
        </is>
      </c>
      <c r="P28" s="48" t="n">
        <v>45644</v>
      </c>
      <c r="Q28" s="48" t="n">
        <v>45674</v>
      </c>
      <c r="R28" s="46" t="inlineStr"/>
    </row>
    <row r="29" ht="18" customHeight="1">
      <c r="A29" s="45" t="inlineStr">
        <is>
          <t>EVT-2025-028</t>
        </is>
      </c>
      <c r="B29" s="51" t="inlineStr">
        <is>
          <t>Nexolimab KOL Meeting Milan Jul 2025</t>
        </is>
      </c>
      <c r="C29" s="52" t="inlineStr">
        <is>
          <t>Oncology</t>
        </is>
      </c>
      <c r="D29" s="52" t="inlineStr">
        <is>
          <t>Nexolimab</t>
        </is>
      </c>
      <c r="E29" s="52" t="inlineStr">
        <is>
          <t>BU Oncology</t>
        </is>
      </c>
      <c r="F29" s="52" t="inlineStr">
        <is>
          <t>KOL Meeting</t>
        </is>
      </c>
      <c r="G29" s="53" t="n">
        <v>45866</v>
      </c>
      <c r="H29" s="53" t="n">
        <v>45868</v>
      </c>
      <c r="I29" s="54" t="n">
        <v>3</v>
      </c>
      <c r="J29" s="52" t="inlineStr">
        <is>
          <t>Milan</t>
        </is>
      </c>
      <c r="K29" s="52" t="inlineStr">
        <is>
          <t>Italy</t>
        </is>
      </c>
      <c r="L29" s="50" t="inlineStr">
        <is>
          <t>Completed</t>
        </is>
      </c>
      <c r="M29" s="51" t="inlineStr">
        <is>
          <t>Emma Johansson</t>
        </is>
      </c>
      <c r="N29" s="52" t="inlineStr">
        <is>
          <t>CC-8794</t>
        </is>
      </c>
      <c r="O29" s="52" t="inlineStr">
        <is>
          <t>GL-6312</t>
        </is>
      </c>
      <c r="P29" s="53" t="n">
        <v>45742</v>
      </c>
      <c r="Q29" s="53" t="n">
        <v>45756</v>
      </c>
      <c r="R29" s="51" t="inlineStr"/>
    </row>
    <row r="30" ht="18" customHeight="1">
      <c r="A30" s="45" t="inlineStr">
        <is>
          <t>EVT-2025-029</t>
        </is>
      </c>
      <c r="B30" s="46" t="inlineStr">
        <is>
          <t>Axotrin Congress Lisbon May 2025</t>
        </is>
      </c>
      <c r="C30" s="47" t="inlineStr">
        <is>
          <t>Neurology</t>
        </is>
      </c>
      <c r="D30" s="47" t="inlineStr">
        <is>
          <t>Axotrin</t>
        </is>
      </c>
      <c r="E30" s="47" t="inlineStr">
        <is>
          <t>BU Neuroscience</t>
        </is>
      </c>
      <c r="F30" s="47" t="inlineStr">
        <is>
          <t>Congress</t>
        </is>
      </c>
      <c r="G30" s="48" t="n">
        <v>45793</v>
      </c>
      <c r="H30" s="48" t="n">
        <v>45797</v>
      </c>
      <c r="I30" s="49" t="n">
        <v>5</v>
      </c>
      <c r="J30" s="47" t="inlineStr">
        <is>
          <t>Lisbon</t>
        </is>
      </c>
      <c r="K30" s="47" t="inlineStr">
        <is>
          <t>Portugal</t>
        </is>
      </c>
      <c r="L30" s="57" t="inlineStr">
        <is>
          <t>In Progress</t>
        </is>
      </c>
      <c r="M30" s="46" t="inlineStr">
        <is>
          <t>Thomas Dubois</t>
        </is>
      </c>
      <c r="N30" s="47" t="inlineStr">
        <is>
          <t>CC-3785</t>
        </is>
      </c>
      <c r="O30" s="47" t="inlineStr">
        <is>
          <t>GL-6320</t>
        </is>
      </c>
      <c r="P30" s="48" t="n">
        <v>45710</v>
      </c>
      <c r="Q30" s="48" t="n">
        <v>45724</v>
      </c>
      <c r="R30" s="46" t="inlineStr"/>
    </row>
    <row r="31" ht="18" customHeight="1">
      <c r="A31" s="45" t="inlineStr">
        <is>
          <t>EVT-2025-030</t>
        </is>
      </c>
      <c r="B31" s="51" t="inlineStr">
        <is>
          <t>Gastroven KOL Meeting Copenhagen Apr 2025</t>
        </is>
      </c>
      <c r="C31" s="52" t="inlineStr">
        <is>
          <t>Gastroenterology</t>
        </is>
      </c>
      <c r="D31" s="52" t="inlineStr">
        <is>
          <t>Gastroven</t>
        </is>
      </c>
      <c r="E31" s="52" t="inlineStr">
        <is>
          <t>BU Cardiovascular</t>
        </is>
      </c>
      <c r="F31" s="52" t="inlineStr">
        <is>
          <t>KOL Meeting</t>
        </is>
      </c>
      <c r="G31" s="53" t="n">
        <v>45769</v>
      </c>
      <c r="H31" s="53" t="n">
        <v>45770</v>
      </c>
      <c r="I31" s="54" t="n">
        <v>2</v>
      </c>
      <c r="J31" s="52" t="inlineStr">
        <is>
          <t>Copenhagen</t>
        </is>
      </c>
      <c r="K31" s="52" t="inlineStr">
        <is>
          <t>Denmark</t>
        </is>
      </c>
      <c r="L31" s="50" t="inlineStr">
        <is>
          <t>Completed</t>
        </is>
      </c>
      <c r="M31" s="51" t="inlineStr">
        <is>
          <t>Lena Schneider</t>
        </is>
      </c>
      <c r="N31" s="52" t="inlineStr">
        <is>
          <t>CC-2599</t>
        </is>
      </c>
      <c r="O31" s="52" t="inlineStr">
        <is>
          <t>GL-6315</t>
        </is>
      </c>
      <c r="P31" s="53" t="n">
        <v>45693</v>
      </c>
      <c r="Q31" s="53" t="n">
        <v>45721</v>
      </c>
      <c r="R31" s="51" t="inlineStr"/>
    </row>
    <row r="32" ht="18" customHeight="1">
      <c r="A32" s="45" t="inlineStr">
        <is>
          <t>EVT-2025-031</t>
        </is>
      </c>
      <c r="B32" s="46" t="inlineStr">
        <is>
          <t>Antivex Congress Dublin Sep 2025</t>
        </is>
      </c>
      <c r="C32" s="47" t="inlineStr">
        <is>
          <t>Infectious Diseases</t>
        </is>
      </c>
      <c r="D32" s="47" t="inlineStr">
        <is>
          <t>Antivex</t>
        </is>
      </c>
      <c r="E32" s="47" t="inlineStr">
        <is>
          <t>BU Infectious Diseases</t>
        </is>
      </c>
      <c r="F32" s="47" t="inlineStr">
        <is>
          <t>Congress</t>
        </is>
      </c>
      <c r="G32" s="48" t="n">
        <v>45902</v>
      </c>
      <c r="H32" s="48" t="n">
        <v>45907</v>
      </c>
      <c r="I32" s="49" t="n">
        <v>6</v>
      </c>
      <c r="J32" s="47" t="inlineStr">
        <is>
          <t>Dublin</t>
        </is>
      </c>
      <c r="K32" s="47" t="inlineStr">
        <is>
          <t>Ireland</t>
        </is>
      </c>
      <c r="L32" s="59" t="inlineStr">
        <is>
          <t>Closed</t>
        </is>
      </c>
      <c r="M32" s="46" t="inlineStr">
        <is>
          <t>Lena Schneider</t>
        </is>
      </c>
      <c r="N32" s="47" t="inlineStr">
        <is>
          <t>CC-5237</t>
        </is>
      </c>
      <c r="O32" s="47" t="inlineStr">
        <is>
          <t>GL-6320</t>
        </is>
      </c>
      <c r="P32" s="48" t="n">
        <v>45745</v>
      </c>
      <c r="Q32" s="48" t="n">
        <v>45755</v>
      </c>
      <c r="R32" s="46" t="inlineStr"/>
    </row>
    <row r="33" ht="18" customHeight="1">
      <c r="A33" s="45" t="inlineStr">
        <is>
          <t>EVT-2025-032</t>
        </is>
      </c>
      <c r="B33" s="51" t="inlineStr">
        <is>
          <t>Cordavex Advisory Board Helsinki Feb 2025</t>
        </is>
      </c>
      <c r="C33" s="52" t="inlineStr">
        <is>
          <t>Cardiology</t>
        </is>
      </c>
      <c r="D33" s="52" t="inlineStr">
        <is>
          <t>Cordavex</t>
        </is>
      </c>
      <c r="E33" s="52" t="inlineStr">
        <is>
          <t>BU Cardiovascular</t>
        </is>
      </c>
      <c r="F33" s="52" t="inlineStr">
        <is>
          <t>Advisory Board</t>
        </is>
      </c>
      <c r="G33" s="53" t="n">
        <v>45692</v>
      </c>
      <c r="H33" s="53" t="n">
        <v>45693</v>
      </c>
      <c r="I33" s="54" t="n">
        <v>2</v>
      </c>
      <c r="J33" s="52" t="inlineStr">
        <is>
          <t>Helsinki</t>
        </is>
      </c>
      <c r="K33" s="52" t="inlineStr">
        <is>
          <t>Finland</t>
        </is>
      </c>
      <c r="L33" s="50" t="inlineStr">
        <is>
          <t>Completed</t>
        </is>
      </c>
      <c r="M33" s="51" t="inlineStr">
        <is>
          <t>David O'Brien</t>
        </is>
      </c>
      <c r="N33" s="52" t="inlineStr">
        <is>
          <t>CC-6499</t>
        </is>
      </c>
      <c r="O33" s="52" t="inlineStr">
        <is>
          <t>GL-6310</t>
        </is>
      </c>
      <c r="P33" s="53" t="n">
        <v>45604</v>
      </c>
      <c r="Q33" s="53" t="n">
        <v>45620</v>
      </c>
      <c r="R33" s="51" t="inlineStr"/>
    </row>
    <row r="34" ht="18" customHeight="1">
      <c r="A34" s="45" t="inlineStr">
        <is>
          <t>EVT-2025-033</t>
        </is>
      </c>
      <c r="B34" s="46" t="inlineStr">
        <is>
          <t>Caprexosin Advisory Board Athens Dec 2025</t>
        </is>
      </c>
      <c r="C34" s="47" t="inlineStr">
        <is>
          <t>Oncology</t>
        </is>
      </c>
      <c r="D34" s="47" t="inlineStr">
        <is>
          <t>Caprexosin</t>
        </is>
      </c>
      <c r="E34" s="47" t="inlineStr">
        <is>
          <t>BU Oncology</t>
        </is>
      </c>
      <c r="F34" s="47" t="inlineStr">
        <is>
          <t>Advisory Board</t>
        </is>
      </c>
      <c r="G34" s="48" t="n">
        <v>45994</v>
      </c>
      <c r="H34" s="48" t="n">
        <v>45996</v>
      </c>
      <c r="I34" s="49" t="n">
        <v>3</v>
      </c>
      <c r="J34" s="47" t="inlineStr">
        <is>
          <t>Athens</t>
        </is>
      </c>
      <c r="K34" s="47" t="inlineStr">
        <is>
          <t>Greece</t>
        </is>
      </c>
      <c r="L34" s="59" t="inlineStr">
        <is>
          <t>Closed</t>
        </is>
      </c>
      <c r="M34" s="46" t="inlineStr">
        <is>
          <t>James Wilson</t>
        </is>
      </c>
      <c r="N34" s="47" t="inlineStr">
        <is>
          <t>CC-4659</t>
        </is>
      </c>
      <c r="O34" s="47" t="inlineStr">
        <is>
          <t>GL-6312</t>
        </is>
      </c>
      <c r="P34" s="48" t="n">
        <v>45881</v>
      </c>
      <c r="Q34" s="48" t="n">
        <v>45911</v>
      </c>
      <c r="R34" s="46" t="inlineStr"/>
    </row>
    <row r="35" ht="18" customHeight="1">
      <c r="A35" s="45" t="inlineStr">
        <is>
          <t>EVT-2025-034</t>
        </is>
      </c>
      <c r="B35" s="51" t="inlineStr">
        <is>
          <t>Antivex Internal Meeting Lisbon Mar 2025</t>
        </is>
      </c>
      <c r="C35" s="52" t="inlineStr">
        <is>
          <t>Infectious Diseases</t>
        </is>
      </c>
      <c r="D35" s="52" t="inlineStr">
        <is>
          <t>Antivex</t>
        </is>
      </c>
      <c r="E35" s="52" t="inlineStr">
        <is>
          <t>BU Infectious Diseases</t>
        </is>
      </c>
      <c r="F35" s="52" t="inlineStr">
        <is>
          <t>Internal Meeting</t>
        </is>
      </c>
      <c r="G35" s="53" t="n">
        <v>45725</v>
      </c>
      <c r="H35" s="53" t="n">
        <v>45727</v>
      </c>
      <c r="I35" s="54" t="n">
        <v>3</v>
      </c>
      <c r="J35" s="52" t="inlineStr">
        <is>
          <t>Lisbon</t>
        </is>
      </c>
      <c r="K35" s="52" t="inlineStr">
        <is>
          <t>Portugal</t>
        </is>
      </c>
      <c r="L35" s="50" t="inlineStr">
        <is>
          <t>Completed</t>
        </is>
      </c>
      <c r="M35" s="51" t="inlineStr">
        <is>
          <t>Marco Bianchi</t>
        </is>
      </c>
      <c r="N35" s="52" t="inlineStr">
        <is>
          <t>CC-6428</t>
        </is>
      </c>
      <c r="O35" s="52" t="inlineStr">
        <is>
          <t>GL-6312</t>
        </is>
      </c>
      <c r="P35" s="53" t="n">
        <v>45632</v>
      </c>
      <c r="Q35" s="53" t="n">
        <v>45655</v>
      </c>
      <c r="R35" s="51" t="inlineStr"/>
    </row>
    <row r="36" ht="18" customHeight="1">
      <c r="A36" s="45" t="inlineStr">
        <is>
          <t>EVT-2025-035</t>
        </is>
      </c>
      <c r="B36" s="46" t="inlineStr">
        <is>
          <t>Cordavex Webinar Amsterdam Sep 2025</t>
        </is>
      </c>
      <c r="C36" s="47" t="inlineStr">
        <is>
          <t>Cardiology</t>
        </is>
      </c>
      <c r="D36" s="47" t="inlineStr">
        <is>
          <t>Cordavex</t>
        </is>
      </c>
      <c r="E36" s="47" t="inlineStr">
        <is>
          <t>BU Cardiovascular</t>
        </is>
      </c>
      <c r="F36" s="47" t="inlineStr">
        <is>
          <t>Webinar</t>
        </is>
      </c>
      <c r="G36" s="48" t="n">
        <v>45917</v>
      </c>
      <c r="H36" s="48" t="n">
        <v>45919</v>
      </c>
      <c r="I36" s="49" t="n">
        <v>3</v>
      </c>
      <c r="J36" s="47" t="inlineStr">
        <is>
          <t>Amsterdam</t>
        </is>
      </c>
      <c r="K36" s="47" t="inlineStr">
        <is>
          <t>Netherlands</t>
        </is>
      </c>
      <c r="L36" s="55" t="inlineStr">
        <is>
          <t>Confirmed</t>
        </is>
      </c>
      <c r="M36" s="46" t="inlineStr">
        <is>
          <t>Lucas Dupont</t>
        </is>
      </c>
      <c r="N36" s="47" t="inlineStr">
        <is>
          <t>CC-5817</t>
        </is>
      </c>
      <c r="O36" s="47" t="inlineStr">
        <is>
          <t>GL-6315</t>
        </is>
      </c>
      <c r="P36" s="48" t="n">
        <v>45749</v>
      </c>
      <c r="Q36" s="48" t="n">
        <v>45757</v>
      </c>
      <c r="R36" s="46" t="inlineStr"/>
    </row>
    <row r="37" ht="18" customHeight="1">
      <c r="A37" s="45" t="inlineStr">
        <is>
          <t>EVT-2025-036</t>
        </is>
      </c>
      <c r="B37" s="51" t="inlineStr">
        <is>
          <t>Bioflair Internal Meeting Milan Aug 2025</t>
        </is>
      </c>
      <c r="C37" s="52" t="inlineStr">
        <is>
          <t>Immunology</t>
        </is>
      </c>
      <c r="D37" s="52" t="inlineStr">
        <is>
          <t>Bioflair</t>
        </is>
      </c>
      <c r="E37" s="52" t="inlineStr">
        <is>
          <t>BU Immunology</t>
        </is>
      </c>
      <c r="F37" s="52" t="inlineStr">
        <is>
          <t>Internal Meeting</t>
        </is>
      </c>
      <c r="G37" s="53" t="n">
        <v>45882</v>
      </c>
      <c r="H37" s="53" t="n">
        <v>45884</v>
      </c>
      <c r="I37" s="54" t="n">
        <v>3</v>
      </c>
      <c r="J37" s="52" t="inlineStr">
        <is>
          <t>Milan</t>
        </is>
      </c>
      <c r="K37" s="52" t="inlineStr">
        <is>
          <t>Italy</t>
        </is>
      </c>
      <c r="L37" s="50" t="inlineStr">
        <is>
          <t>Completed</t>
        </is>
      </c>
      <c r="M37" s="51" t="inlineStr">
        <is>
          <t>Maria Kowalski</t>
        </is>
      </c>
      <c r="N37" s="52" t="inlineStr">
        <is>
          <t>CC-8709</t>
        </is>
      </c>
      <c r="O37" s="52" t="inlineStr">
        <is>
          <t>GL-6310</t>
        </is>
      </c>
      <c r="P37" s="53" t="n">
        <v>45712</v>
      </c>
      <c r="Q37" s="53" t="n">
        <v>45737</v>
      </c>
      <c r="R37" s="51" t="inlineStr"/>
    </row>
    <row r="38" ht="18" customHeight="1">
      <c r="A38" s="45" t="inlineStr">
        <is>
          <t>EVT-2025-037</t>
        </is>
      </c>
      <c r="B38" s="46" t="inlineStr">
        <is>
          <t>Orphavex Advisory Board Berlin May 2025</t>
        </is>
      </c>
      <c r="C38" s="47" t="inlineStr">
        <is>
          <t>Rare Diseases</t>
        </is>
      </c>
      <c r="D38" s="47" t="inlineStr">
        <is>
          <t>Orphavex</t>
        </is>
      </c>
      <c r="E38" s="47" t="inlineStr">
        <is>
          <t>BU Rare Diseases</t>
        </is>
      </c>
      <c r="F38" s="47" t="inlineStr">
        <is>
          <t>Advisory Board</t>
        </is>
      </c>
      <c r="G38" s="48" t="n">
        <v>45793</v>
      </c>
      <c r="H38" s="48" t="n">
        <v>45794</v>
      </c>
      <c r="I38" s="49" t="n">
        <v>2</v>
      </c>
      <c r="J38" s="47" t="inlineStr">
        <is>
          <t>Berlin</t>
        </is>
      </c>
      <c r="K38" s="47" t="inlineStr">
        <is>
          <t>Germany</t>
        </is>
      </c>
      <c r="L38" s="60" t="inlineStr">
        <is>
          <t>On Hold</t>
        </is>
      </c>
      <c r="M38" s="46" t="inlineStr">
        <is>
          <t>Thomas Dubois</t>
        </is>
      </c>
      <c r="N38" s="47" t="inlineStr">
        <is>
          <t>CC-2166</t>
        </is>
      </c>
      <c r="O38" s="47" t="inlineStr">
        <is>
          <t>GL-6315</t>
        </is>
      </c>
      <c r="P38" s="48" t="n">
        <v>45620</v>
      </c>
      <c r="Q38" s="48" t="n">
        <v>45631</v>
      </c>
      <c r="R38" s="46" t="inlineStr"/>
    </row>
    <row r="39" ht="18" customHeight="1">
      <c r="A39" s="45" t="inlineStr">
        <is>
          <t>EVT-2025-038</t>
        </is>
      </c>
      <c r="B39" s="51" t="inlineStr">
        <is>
          <t>Genetrix Satellite Symposium Amsterdam Jun 2025</t>
        </is>
      </c>
      <c r="C39" s="52" t="inlineStr">
        <is>
          <t>Rare Diseases</t>
        </is>
      </c>
      <c r="D39" s="52" t="inlineStr">
        <is>
          <t>Genetrix</t>
        </is>
      </c>
      <c r="E39" s="52" t="inlineStr">
        <is>
          <t>BU Rare Diseases</t>
        </is>
      </c>
      <c r="F39" s="52" t="inlineStr">
        <is>
          <t>Satellite Symposium</t>
        </is>
      </c>
      <c r="G39" s="53" t="n">
        <v>45833</v>
      </c>
      <c r="H39" s="53" t="n">
        <v>45834</v>
      </c>
      <c r="I39" s="54" t="n">
        <v>2</v>
      </c>
      <c r="J39" s="52" t="inlineStr">
        <is>
          <t>Amsterdam</t>
        </is>
      </c>
      <c r="K39" s="52" t="inlineStr">
        <is>
          <t>Netherlands</t>
        </is>
      </c>
      <c r="L39" s="50" t="inlineStr">
        <is>
          <t>Completed</t>
        </is>
      </c>
      <c r="M39" s="51" t="inlineStr">
        <is>
          <t>Isabel Ferreira</t>
        </is>
      </c>
      <c r="N39" s="52" t="inlineStr">
        <is>
          <t>CC-9199</t>
        </is>
      </c>
      <c r="O39" s="52" t="inlineStr">
        <is>
          <t>GL-6310</t>
        </is>
      </c>
      <c r="P39" s="53" t="n">
        <v>45662</v>
      </c>
      <c r="Q39" s="53" t="n">
        <v>45688</v>
      </c>
      <c r="R39" s="51" t="inlineStr"/>
    </row>
    <row r="40" ht="18" customHeight="1">
      <c r="A40" s="45" t="inlineStr">
        <is>
          <t>EVT-2025-039</t>
        </is>
      </c>
      <c r="B40" s="46" t="inlineStr">
        <is>
          <t>Rarzolene Advisory Board Athens May 2025</t>
        </is>
      </c>
      <c r="C40" s="47" t="inlineStr">
        <is>
          <t>Rare Diseases</t>
        </is>
      </c>
      <c r="D40" s="47" t="inlineStr">
        <is>
          <t>Rarzolene</t>
        </is>
      </c>
      <c r="E40" s="47" t="inlineStr">
        <is>
          <t>BU Rare Diseases</t>
        </is>
      </c>
      <c r="F40" s="47" t="inlineStr">
        <is>
          <t>Advisory Board</t>
        </is>
      </c>
      <c r="G40" s="48" t="n">
        <v>45799</v>
      </c>
      <c r="H40" s="48" t="n">
        <v>45800</v>
      </c>
      <c r="I40" s="49" t="n">
        <v>2</v>
      </c>
      <c r="J40" s="47" t="inlineStr">
        <is>
          <t>Athens</t>
        </is>
      </c>
      <c r="K40" s="47" t="inlineStr">
        <is>
          <t>Greece</t>
        </is>
      </c>
      <c r="L40" s="58" t="inlineStr">
        <is>
          <t>Planning</t>
        </is>
      </c>
      <c r="M40" s="46" t="inlineStr">
        <is>
          <t>Sophie Müller</t>
        </is>
      </c>
      <c r="N40" s="47" t="inlineStr">
        <is>
          <t>CC-7253</t>
        </is>
      </c>
      <c r="O40" s="47" t="inlineStr">
        <is>
          <t>GL-6320</t>
        </is>
      </c>
      <c r="P40" s="48" t="n">
        <v>45701</v>
      </c>
      <c r="Q40" s="48" t="n">
        <v>45719</v>
      </c>
      <c r="R40" s="46" t="inlineStr"/>
    </row>
    <row r="41" ht="18" customHeight="1">
      <c r="A41" s="45" t="inlineStr">
        <is>
          <t>EVT-2025-040</t>
        </is>
      </c>
      <c r="B41" s="51" t="inlineStr">
        <is>
          <t>Rarzolene Symposium Istanbul Dec 2025</t>
        </is>
      </c>
      <c r="C41" s="52" t="inlineStr">
        <is>
          <t>Rare Diseases</t>
        </is>
      </c>
      <c r="D41" s="52" t="inlineStr">
        <is>
          <t>Rarzolene</t>
        </is>
      </c>
      <c r="E41" s="52" t="inlineStr">
        <is>
          <t>BU Rare Diseases</t>
        </is>
      </c>
      <c r="F41" s="52" t="inlineStr">
        <is>
          <t>Symposium</t>
        </is>
      </c>
      <c r="G41" s="53" t="n">
        <v>46019</v>
      </c>
      <c r="H41" s="53" t="n">
        <v>46023</v>
      </c>
      <c r="I41" s="54" t="n">
        <v>5</v>
      </c>
      <c r="J41" s="52" t="inlineStr">
        <is>
          <t>Istanbul</t>
        </is>
      </c>
      <c r="K41" s="52" t="inlineStr">
        <is>
          <t>Turkey</t>
        </is>
      </c>
      <c r="L41" s="50" t="inlineStr">
        <is>
          <t>Completed</t>
        </is>
      </c>
      <c r="M41" s="51" t="inlineStr">
        <is>
          <t>Marco Bianchi</t>
        </is>
      </c>
      <c r="N41" s="52" t="inlineStr">
        <is>
          <t>CC-1885</t>
        </is>
      </c>
      <c r="O41" s="52" t="inlineStr">
        <is>
          <t>GL-6311</t>
        </is>
      </c>
      <c r="P41" s="53" t="n">
        <v>45942</v>
      </c>
      <c r="Q41" s="53" t="n">
        <v>45953</v>
      </c>
      <c r="R41" s="51" t="inlineStr"/>
    </row>
    <row r="42" ht="18" customHeight="1">
      <c r="A42" s="45" t="inlineStr">
        <is>
          <t>EVT-2025-041</t>
        </is>
      </c>
      <c r="B42" s="46" t="inlineStr">
        <is>
          <t>Cognivex Congress Brussels Oct 2025</t>
        </is>
      </c>
      <c r="C42" s="47" t="inlineStr">
        <is>
          <t>Neurology</t>
        </is>
      </c>
      <c r="D42" s="47" t="inlineStr">
        <is>
          <t>Cognivex</t>
        </is>
      </c>
      <c r="E42" s="47" t="inlineStr">
        <is>
          <t>BU Neuroscience</t>
        </is>
      </c>
      <c r="F42" s="47" t="inlineStr">
        <is>
          <t>Congress</t>
        </is>
      </c>
      <c r="G42" s="48" t="n">
        <v>45956</v>
      </c>
      <c r="H42" s="48" t="n">
        <v>45961</v>
      </c>
      <c r="I42" s="49" t="n">
        <v>6</v>
      </c>
      <c r="J42" s="47" t="inlineStr">
        <is>
          <t>Brussels</t>
        </is>
      </c>
      <c r="K42" s="47" t="inlineStr">
        <is>
          <t>Belgium</t>
        </is>
      </c>
      <c r="L42" s="55" t="inlineStr">
        <is>
          <t>Confirmed</t>
        </is>
      </c>
      <c r="M42" s="46" t="inlineStr">
        <is>
          <t>Sophie Müller</t>
        </is>
      </c>
      <c r="N42" s="47" t="inlineStr">
        <is>
          <t>CC-6614</t>
        </is>
      </c>
      <c r="O42" s="47" t="inlineStr">
        <is>
          <t>GL-6315</t>
        </is>
      </c>
      <c r="P42" s="48" t="n">
        <v>45824</v>
      </c>
      <c r="Q42" s="48" t="n">
        <v>45843</v>
      </c>
      <c r="R42" s="46" t="inlineStr"/>
    </row>
    <row r="43" ht="18" customHeight="1">
      <c r="A43" s="45" t="inlineStr">
        <is>
          <t>EVT-2025-042</t>
        </is>
      </c>
      <c r="B43" s="51" t="inlineStr">
        <is>
          <t>Antivex Launch Event Amsterdam Dec 2025</t>
        </is>
      </c>
      <c r="C43" s="52" t="inlineStr">
        <is>
          <t>Infectious Diseases</t>
        </is>
      </c>
      <c r="D43" s="52" t="inlineStr">
        <is>
          <t>Antivex</t>
        </is>
      </c>
      <c r="E43" s="52" t="inlineStr">
        <is>
          <t>BU Infectious Diseases</t>
        </is>
      </c>
      <c r="F43" s="52" t="inlineStr">
        <is>
          <t>Launch Event</t>
        </is>
      </c>
      <c r="G43" s="53" t="n">
        <v>46007</v>
      </c>
      <c r="H43" s="53" t="n">
        <v>46008</v>
      </c>
      <c r="I43" s="54" t="n">
        <v>2</v>
      </c>
      <c r="J43" s="52" t="inlineStr">
        <is>
          <t>Amsterdam</t>
        </is>
      </c>
      <c r="K43" s="52" t="inlineStr">
        <is>
          <t>Netherlands</t>
        </is>
      </c>
      <c r="L43" s="50" t="inlineStr">
        <is>
          <t>Completed</t>
        </is>
      </c>
      <c r="M43" s="51" t="inlineStr">
        <is>
          <t>Lucas Dupont</t>
        </is>
      </c>
      <c r="N43" s="52" t="inlineStr">
        <is>
          <t>CC-3346</t>
        </is>
      </c>
      <c r="O43" s="52" t="inlineStr">
        <is>
          <t>GL-6312</t>
        </is>
      </c>
      <c r="P43" s="53" t="n">
        <v>45837</v>
      </c>
      <c r="Q43" s="53" t="n">
        <v>45864</v>
      </c>
      <c r="R43" s="51" t="inlineStr"/>
    </row>
    <row r="44" ht="18" customHeight="1">
      <c r="A44" s="45" t="inlineStr">
        <is>
          <t>EVT-2025-043</t>
        </is>
      </c>
      <c r="B44" s="46" t="inlineStr">
        <is>
          <t>Ferrozol Speaker Program Vienna Mar 2025</t>
        </is>
      </c>
      <c r="C44" s="47" t="inlineStr">
        <is>
          <t>Hematology</t>
        </is>
      </c>
      <c r="D44" s="47" t="inlineStr">
        <is>
          <t>Ferrozol</t>
        </is>
      </c>
      <c r="E44" s="47" t="inlineStr">
        <is>
          <t>BU Oncology</t>
        </is>
      </c>
      <c r="F44" s="47" t="inlineStr">
        <is>
          <t>Speaker Program</t>
        </is>
      </c>
      <c r="G44" s="48" t="n">
        <v>45741</v>
      </c>
      <c r="H44" s="48" t="n">
        <v>45742</v>
      </c>
      <c r="I44" s="49" t="n">
        <v>2</v>
      </c>
      <c r="J44" s="47" t="inlineStr">
        <is>
          <t>Vienna</t>
        </is>
      </c>
      <c r="K44" s="47" t="inlineStr">
        <is>
          <t>Austria</t>
        </is>
      </c>
      <c r="L44" s="60" t="inlineStr">
        <is>
          <t>On Hold</t>
        </is>
      </c>
      <c r="M44" s="46" t="inlineStr">
        <is>
          <t>Ana García</t>
        </is>
      </c>
      <c r="N44" s="47" t="inlineStr">
        <is>
          <t>CC-3954</t>
        </is>
      </c>
      <c r="O44" s="47" t="inlineStr">
        <is>
          <t>GL-6310</t>
        </is>
      </c>
      <c r="P44" s="48" t="n">
        <v>45619</v>
      </c>
      <c r="Q44" s="48" t="n">
        <v>45634</v>
      </c>
      <c r="R44" s="46" t="inlineStr"/>
    </row>
    <row r="45" ht="18" customHeight="1">
      <c r="A45" s="45" t="inlineStr">
        <is>
          <t>EVT-2025-044</t>
        </is>
      </c>
      <c r="B45" s="51" t="inlineStr">
        <is>
          <t>Vaccinade KOL Meeting Zurich Mar 2025</t>
        </is>
      </c>
      <c r="C45" s="52" t="inlineStr">
        <is>
          <t>Infectious Diseases</t>
        </is>
      </c>
      <c r="D45" s="52" t="inlineStr">
        <is>
          <t>Vaccinade</t>
        </is>
      </c>
      <c r="E45" s="52" t="inlineStr">
        <is>
          <t>BU Infectious Diseases</t>
        </is>
      </c>
      <c r="F45" s="52" t="inlineStr">
        <is>
          <t>KOL Meeting</t>
        </is>
      </c>
      <c r="G45" s="53" t="n">
        <v>45739</v>
      </c>
      <c r="H45" s="53" t="n">
        <v>45740</v>
      </c>
      <c r="I45" s="54" t="n">
        <v>2</v>
      </c>
      <c r="J45" s="52" t="inlineStr">
        <is>
          <t>Zurich</t>
        </is>
      </c>
      <c r="K45" s="52" t="inlineStr">
        <is>
          <t>Switzerland</t>
        </is>
      </c>
      <c r="L45" s="50" t="inlineStr">
        <is>
          <t>Completed</t>
        </is>
      </c>
      <c r="M45" s="51" t="inlineStr">
        <is>
          <t>Ana García</t>
        </is>
      </c>
      <c r="N45" s="52" t="inlineStr">
        <is>
          <t>CC-3897</t>
        </is>
      </c>
      <c r="O45" s="52" t="inlineStr">
        <is>
          <t>GL-6312</t>
        </is>
      </c>
      <c r="P45" s="53" t="n">
        <v>45598</v>
      </c>
      <c r="Q45" s="53" t="n">
        <v>45604</v>
      </c>
      <c r="R45" s="51" t="inlineStr"/>
    </row>
    <row r="46" ht="18" customHeight="1">
      <c r="A46" s="45" t="inlineStr">
        <is>
          <t>EVT-2025-045</t>
        </is>
      </c>
      <c r="B46" s="46" t="inlineStr">
        <is>
          <t>Imunexal Symposium Brussels Jun 2025</t>
        </is>
      </c>
      <c r="C46" s="47" t="inlineStr">
        <is>
          <t>Immunology</t>
        </is>
      </c>
      <c r="D46" s="47" t="inlineStr">
        <is>
          <t>Imunexal</t>
        </is>
      </c>
      <c r="E46" s="47" t="inlineStr">
        <is>
          <t>BU Immunology</t>
        </is>
      </c>
      <c r="F46" s="47" t="inlineStr">
        <is>
          <t>Symposium</t>
        </is>
      </c>
      <c r="G46" s="48" t="n">
        <v>45814</v>
      </c>
      <c r="H46" s="48" t="n">
        <v>45816</v>
      </c>
      <c r="I46" s="49" t="n">
        <v>3</v>
      </c>
      <c r="J46" s="47" t="inlineStr">
        <is>
          <t>Brussels</t>
        </is>
      </c>
      <c r="K46" s="47" t="inlineStr">
        <is>
          <t>Belgium</t>
        </is>
      </c>
      <c r="L46" s="55" t="inlineStr">
        <is>
          <t>Confirmed</t>
        </is>
      </c>
      <c r="M46" s="46" t="inlineStr">
        <is>
          <t>Maria Kowalski</t>
        </is>
      </c>
      <c r="N46" s="47" t="inlineStr">
        <is>
          <t>CC-1077</t>
        </is>
      </c>
      <c r="O46" s="47" t="inlineStr">
        <is>
          <t>GL-6315</t>
        </is>
      </c>
      <c r="P46" s="48" t="n">
        <v>45719</v>
      </c>
      <c r="Q46" s="48" t="n">
        <v>45730</v>
      </c>
      <c r="R46" s="46" t="inlineStr"/>
    </row>
    <row r="47" ht="18" customHeight="1">
      <c r="A47" s="45" t="inlineStr">
        <is>
          <t>EVT-2025-046</t>
        </is>
      </c>
      <c r="B47" s="51" t="inlineStr">
        <is>
          <t>Vaccinade Advisory Board Zurich Jun 2025</t>
        </is>
      </c>
      <c r="C47" s="52" t="inlineStr">
        <is>
          <t>Infectious Diseases</t>
        </is>
      </c>
      <c r="D47" s="52" t="inlineStr">
        <is>
          <t>Vaccinade</t>
        </is>
      </c>
      <c r="E47" s="52" t="inlineStr">
        <is>
          <t>BU Infectious Diseases</t>
        </is>
      </c>
      <c r="F47" s="52" t="inlineStr">
        <is>
          <t>Advisory Board</t>
        </is>
      </c>
      <c r="G47" s="53" t="n">
        <v>45837</v>
      </c>
      <c r="H47" s="53" t="n">
        <v>45839</v>
      </c>
      <c r="I47" s="54" t="n">
        <v>3</v>
      </c>
      <c r="J47" s="52" t="inlineStr">
        <is>
          <t>Zurich</t>
        </is>
      </c>
      <c r="K47" s="52" t="inlineStr">
        <is>
          <t>Switzerland</t>
        </is>
      </c>
      <c r="L47" s="50" t="inlineStr">
        <is>
          <t>Completed</t>
        </is>
      </c>
      <c r="M47" s="51" t="inlineStr">
        <is>
          <t>Lena Schneider</t>
        </is>
      </c>
      <c r="N47" s="52" t="inlineStr">
        <is>
          <t>CC-3762</t>
        </is>
      </c>
      <c r="O47" s="52" t="inlineStr">
        <is>
          <t>GL-6320</t>
        </is>
      </c>
      <c r="P47" s="53" t="n">
        <v>45680</v>
      </c>
      <c r="Q47" s="53" t="n">
        <v>45690</v>
      </c>
      <c r="R47" s="51" t="inlineStr"/>
    </row>
    <row r="48" ht="18" customHeight="1">
      <c r="A48" s="45" t="inlineStr">
        <is>
          <t>EVT-2025-047</t>
        </is>
      </c>
      <c r="B48" s="46" t="inlineStr">
        <is>
          <t>Nexolimab Internal Meeting Milan Oct 2025</t>
        </is>
      </c>
      <c r="C48" s="47" t="inlineStr">
        <is>
          <t>Oncology</t>
        </is>
      </c>
      <c r="D48" s="47" t="inlineStr">
        <is>
          <t>Nexolimab</t>
        </is>
      </c>
      <c r="E48" s="47" t="inlineStr">
        <is>
          <t>BU Oncology</t>
        </is>
      </c>
      <c r="F48" s="47" t="inlineStr">
        <is>
          <t>Internal Meeting</t>
        </is>
      </c>
      <c r="G48" s="48" t="n">
        <v>45955</v>
      </c>
      <c r="H48" s="48" t="n">
        <v>45957</v>
      </c>
      <c r="I48" s="49" t="n">
        <v>3</v>
      </c>
      <c r="J48" s="47" t="inlineStr">
        <is>
          <t>Milan</t>
        </is>
      </c>
      <c r="K48" s="47" t="inlineStr">
        <is>
          <t>Italy</t>
        </is>
      </c>
      <c r="L48" s="58" t="inlineStr">
        <is>
          <t>Planning</t>
        </is>
      </c>
      <c r="M48" s="46" t="inlineStr">
        <is>
          <t>David O'Brien</t>
        </is>
      </c>
      <c r="N48" s="47" t="inlineStr">
        <is>
          <t>CC-9021</t>
        </is>
      </c>
      <c r="O48" s="47" t="inlineStr">
        <is>
          <t>GL-6310</t>
        </is>
      </c>
      <c r="P48" s="48" t="n">
        <v>45879</v>
      </c>
      <c r="Q48" s="48" t="n">
        <v>45903</v>
      </c>
      <c r="R48" s="46" t="inlineStr"/>
    </row>
    <row r="49" ht="18" customHeight="1">
      <c r="A49" s="45" t="inlineStr">
        <is>
          <t>EVT-2025-048</t>
        </is>
      </c>
      <c r="B49" s="51" t="inlineStr">
        <is>
          <t>Vaccinade Satellite Symposium Budapest Mar 2025</t>
        </is>
      </c>
      <c r="C49" s="52" t="inlineStr">
        <is>
          <t>Infectious Diseases</t>
        </is>
      </c>
      <c r="D49" s="52" t="inlineStr">
        <is>
          <t>Vaccinade</t>
        </is>
      </c>
      <c r="E49" s="52" t="inlineStr">
        <is>
          <t>BU Infectious Diseases</t>
        </is>
      </c>
      <c r="F49" s="52" t="inlineStr">
        <is>
          <t>Satellite Symposium</t>
        </is>
      </c>
      <c r="G49" s="53" t="n">
        <v>45717</v>
      </c>
      <c r="H49" s="53" t="n">
        <v>45719</v>
      </c>
      <c r="I49" s="54" t="n">
        <v>3</v>
      </c>
      <c r="J49" s="52" t="inlineStr">
        <is>
          <t>Budapest</t>
        </is>
      </c>
      <c r="K49" s="52" t="inlineStr">
        <is>
          <t>Hungary</t>
        </is>
      </c>
      <c r="L49" s="60" t="inlineStr">
        <is>
          <t>On Hold</t>
        </is>
      </c>
      <c r="M49" s="51" t="inlineStr">
        <is>
          <t>James Wilson</t>
        </is>
      </c>
      <c r="N49" s="52" t="inlineStr">
        <is>
          <t>CC-8105</t>
        </is>
      </c>
      <c r="O49" s="52" t="inlineStr">
        <is>
          <t>GL-6315</t>
        </is>
      </c>
      <c r="P49" s="53" t="n">
        <v>45606</v>
      </c>
      <c r="Q49" s="53" t="n">
        <v>45624</v>
      </c>
      <c r="R49" s="51" t="inlineStr"/>
    </row>
    <row r="50" ht="18" customHeight="1">
      <c r="A50" s="45" t="inlineStr">
        <is>
          <t>EVT-2025-049</t>
        </is>
      </c>
      <c r="B50" s="46" t="inlineStr">
        <is>
          <t>Hemaflex Webinar Istanbul Dec 2025</t>
        </is>
      </c>
      <c r="C50" s="47" t="inlineStr">
        <is>
          <t>Hematology</t>
        </is>
      </c>
      <c r="D50" s="47" t="inlineStr">
        <is>
          <t>Hemaflex</t>
        </is>
      </c>
      <c r="E50" s="47" t="inlineStr">
        <is>
          <t>BU Oncology</t>
        </is>
      </c>
      <c r="F50" s="47" t="inlineStr">
        <is>
          <t>Webinar</t>
        </is>
      </c>
      <c r="G50" s="48" t="n">
        <v>46009</v>
      </c>
      <c r="H50" s="48" t="n">
        <v>46010</v>
      </c>
      <c r="I50" s="49" t="n">
        <v>2</v>
      </c>
      <c r="J50" s="47" t="inlineStr">
        <is>
          <t>Istanbul</t>
        </is>
      </c>
      <c r="K50" s="47" t="inlineStr">
        <is>
          <t>Turkey</t>
        </is>
      </c>
      <c r="L50" s="57" t="inlineStr">
        <is>
          <t>In Progress</t>
        </is>
      </c>
      <c r="M50" s="46" t="inlineStr">
        <is>
          <t>Marco Bianchi</t>
        </is>
      </c>
      <c r="N50" s="47" t="inlineStr">
        <is>
          <t>CC-8821</t>
        </is>
      </c>
      <c r="O50" s="47" t="inlineStr">
        <is>
          <t>GL-6315</t>
        </is>
      </c>
      <c r="P50" s="48" t="n">
        <v>45949</v>
      </c>
      <c r="Q50" s="48" t="n">
        <v>45955</v>
      </c>
      <c r="R50" s="46" t="inlineStr"/>
    </row>
    <row r="51" ht="18" customHeight="1">
      <c r="A51" s="45" t="inlineStr">
        <is>
          <t>EVT-2025-050</t>
        </is>
      </c>
      <c r="B51" s="51" t="inlineStr">
        <is>
          <t>Infectoban Launch Event Paris Jun 2025</t>
        </is>
      </c>
      <c r="C51" s="52" t="inlineStr">
        <is>
          <t>Infectious Diseases</t>
        </is>
      </c>
      <c r="D51" s="52" t="inlineStr">
        <is>
          <t>Infectoban</t>
        </is>
      </c>
      <c r="E51" s="52" t="inlineStr">
        <is>
          <t>BU Infectious Diseases</t>
        </is>
      </c>
      <c r="F51" s="52" t="inlineStr">
        <is>
          <t>Launch Event</t>
        </is>
      </c>
      <c r="G51" s="53" t="n">
        <v>45811</v>
      </c>
      <c r="H51" s="53" t="n">
        <v>45813</v>
      </c>
      <c r="I51" s="54" t="n">
        <v>3</v>
      </c>
      <c r="J51" s="52" t="inlineStr">
        <is>
          <t>Paris</t>
        </is>
      </c>
      <c r="K51" s="52" t="inlineStr">
        <is>
          <t>France</t>
        </is>
      </c>
      <c r="L51" s="50" t="inlineStr">
        <is>
          <t>Completed</t>
        </is>
      </c>
      <c r="M51" s="51" t="inlineStr">
        <is>
          <t>Lucas Dupont</t>
        </is>
      </c>
      <c r="N51" s="52" t="inlineStr">
        <is>
          <t>CC-9745</t>
        </is>
      </c>
      <c r="O51" s="52" t="inlineStr">
        <is>
          <t>GL-6311</t>
        </is>
      </c>
      <c r="P51" s="53" t="n">
        <v>45658</v>
      </c>
      <c r="Q51" s="53" t="n">
        <v>45674</v>
      </c>
      <c r="R51" s="51" t="inlineStr"/>
    </row>
  </sheetData>
  <conditionalFormatting sqref="A2:R51">
    <cfRule type="expression" priority="1" dxfId="0">
      <formula>$L2="Completed"</formula>
    </cfRule>
    <cfRule type="expression" priority="2" dxfId="1">
      <formula>$L2="Cancelled"</formula>
    </cfRule>
    <cfRule type="expression" priority="3" dxfId="2">
      <formula>$L2="On Hold"</formula>
    </cfRule>
    <cfRule type="expression" priority="4" dxfId="3">
      <formula>$L2="In Progress"</formula>
    </cfRule>
  </conditionalFormatting>
  <dataValidations count="3">
    <dataValidation sqref="C2:C51" showDropDown="0" showInputMessage="0" showErrorMessage="0" allowBlank="0" type="list">
      <formula1>"Oncology,Cardiology,Neurology,Immunology,Rare Diseases,Infectious Diseases,Hematology,Gastroenterology"</formula1>
    </dataValidation>
    <dataValidation sqref="F2:F51" showDropDown="0" showInputMessage="0" showErrorMessage="0" allowBlank="0" type="list">
      <formula1>"Congress,Advisory Board,Speaker Program,KOL Meeting,Internal Meeting,Launch Event,Investigator Meeting,Symposium,Webinar,Satellite Symposium"</formula1>
    </dataValidation>
    <dataValidation sqref="L2:L51" showDropDown="0" showInputMessage="0" showErrorMessage="0" allowBlank="0" type="list">
      <formula1>"Planning,Confirmed,In Progress,Completed,Cancelled,On Hold,Closed"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V5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12" customWidth="1" min="4" max="4"/>
    <col width="20" customWidth="1" min="5" max="5"/>
    <col width="22" customWidth="1" min="6" max="6"/>
    <col width="18" customWidth="1" min="7" max="7"/>
    <col width="13" customWidth="1" min="8" max="8"/>
    <col width="16" customWidth="1" min="9" max="9"/>
    <col width="16" customWidth="1" min="10" max="10"/>
    <col width="14" customWidth="1" min="11" max="11"/>
    <col width="14" customWidth="1" min="12" max="12"/>
    <col width="16" customWidth="1" min="13" max="13"/>
    <col width="14" customWidth="1" min="14" max="14"/>
    <col width="14" customWidth="1" min="15" max="15"/>
    <col width="16" customWidth="1" min="16" max="16"/>
    <col width="16" customWidth="1" min="17" max="17"/>
    <col width="12" customWidth="1" min="18" max="18"/>
    <col width="16" customWidth="1" min="19" max="19"/>
    <col width="16" customWidth="1" min="20" max="20"/>
    <col width="14" customWidth="1" min="21" max="21"/>
    <col width="20" customWidth="1" min="22" max="22"/>
  </cols>
  <sheetData>
    <row r="1" ht="30" customHeight="1">
      <c r="A1" s="61" t="inlineStr">
        <is>
          <t>Event ID</t>
        </is>
      </c>
      <c r="B1" s="61" t="inlineStr">
        <is>
          <t>Event Name</t>
        </is>
      </c>
      <c r="C1" s="61" t="inlineStr">
        <is>
          <t>Cost Center</t>
        </is>
      </c>
      <c r="D1" s="61" t="inlineStr">
        <is>
          <t>GL Account</t>
        </is>
      </c>
      <c r="E1" s="61" t="inlineStr">
        <is>
          <t>Therapeutic Area</t>
        </is>
      </c>
      <c r="F1" s="61" t="inlineStr">
        <is>
          <t>Business Unit</t>
        </is>
      </c>
      <c r="G1" s="61" t="inlineStr">
        <is>
          <t>Event Type</t>
        </is>
      </c>
      <c r="H1" s="61" t="inlineStr">
        <is>
          <t>Start Date</t>
        </is>
      </c>
      <c r="I1" s="61" t="inlineStr">
        <is>
          <t>Initial Budget (€)</t>
        </is>
      </c>
      <c r="J1" s="61" t="inlineStr">
        <is>
          <t>Approved Budget (€)</t>
        </is>
      </c>
      <c r="K1" s="61" t="inlineStr">
        <is>
          <t>Forecast V1 (€)</t>
        </is>
      </c>
      <c r="L1" s="61" t="inlineStr">
        <is>
          <t>Forecast V2 (€)</t>
        </is>
      </c>
      <c r="M1" s="61" t="inlineStr">
        <is>
          <t>Current Forecast (€)</t>
        </is>
      </c>
      <c r="N1" s="61" t="inlineStr">
        <is>
          <t>Committed (€)</t>
        </is>
      </c>
      <c r="O1" s="61" t="inlineStr">
        <is>
          <t>Actual Spend (€)</t>
        </is>
      </c>
      <c r="P1" s="61" t="inlineStr">
        <is>
          <t>Remaining Budget (€)</t>
        </is>
      </c>
      <c r="Q1" s="61" t="inlineStr">
        <is>
          <t>Budget Variance (€)</t>
        </is>
      </c>
      <c r="R1" s="61" t="inlineStr">
        <is>
          <t>Variance %</t>
        </is>
      </c>
      <c r="S1" s="61" t="inlineStr">
        <is>
          <t>Forecast Version</t>
        </is>
      </c>
      <c r="T1" s="61" t="inlineStr">
        <is>
          <t>Budget Status</t>
        </is>
      </c>
      <c r="U1" s="61" t="inlineStr">
        <is>
          <t>Approval Date</t>
        </is>
      </c>
      <c r="V1" s="61" t="inlineStr">
        <is>
          <t>Approved By</t>
        </is>
      </c>
    </row>
    <row r="2" ht="18" customHeight="1">
      <c r="A2" s="62" t="inlineStr">
        <is>
          <t>EVT-2025-001</t>
        </is>
      </c>
      <c r="B2" s="63" t="inlineStr">
        <is>
          <t>Cordavex Internal Meeting Vienna Apr 2025</t>
        </is>
      </c>
      <c r="C2" s="64" t="inlineStr">
        <is>
          <t>CC-3851</t>
        </is>
      </c>
      <c r="D2" s="64" t="inlineStr">
        <is>
          <t>GL-6320</t>
        </is>
      </c>
      <c r="E2" s="64" t="inlineStr">
        <is>
          <t>Cardiology</t>
        </is>
      </c>
      <c r="F2" s="64" t="inlineStr">
        <is>
          <t>BU Cardiovascular</t>
        </is>
      </c>
      <c r="G2" s="64" t="inlineStr">
        <is>
          <t>Internal Meeting</t>
        </is>
      </c>
      <c r="H2" s="65" t="n">
        <v>45772</v>
      </c>
      <c r="I2" s="66" t="n">
        <v>374223.86</v>
      </c>
      <c r="J2" s="66" t="n">
        <v>358929.72</v>
      </c>
      <c r="K2" s="66" t="n">
        <v>345551.97</v>
      </c>
      <c r="L2" s="66" t="n">
        <v>351166.88</v>
      </c>
      <c r="M2" s="66" t="n">
        <v>351166.88</v>
      </c>
      <c r="N2" s="66" t="n">
        <v>324184.5</v>
      </c>
      <c r="O2" s="66" t="n">
        <v>292801.94</v>
      </c>
      <c r="P2" s="66" t="n">
        <v>26982.38</v>
      </c>
      <c r="Q2" s="67" t="n">
        <v>7762.839999999967</v>
      </c>
      <c r="R2" s="68" t="n">
        <v>0.02162774372654337</v>
      </c>
      <c r="S2" s="64" t="inlineStr">
        <is>
          <t>FV3</t>
        </is>
      </c>
      <c r="T2" s="69" t="inlineStr">
        <is>
          <t>On Track</t>
        </is>
      </c>
      <c r="U2" s="65" t="n">
        <v>45723</v>
      </c>
      <c r="V2" s="63" t="inlineStr">
        <is>
          <t>Thomas Dubois</t>
        </is>
      </c>
    </row>
    <row r="3" ht="18" customHeight="1">
      <c r="A3" s="62" t="inlineStr">
        <is>
          <t>EVT-2025-002</t>
        </is>
      </c>
      <c r="B3" s="70" t="inlineStr">
        <is>
          <t>Eplitazan Investigator Meeting Barcelona Jan 2025</t>
        </is>
      </c>
      <c r="C3" s="71" t="inlineStr">
        <is>
          <t>CC-4443</t>
        </is>
      </c>
      <c r="D3" s="71" t="inlineStr">
        <is>
          <t>GL-6315</t>
        </is>
      </c>
      <c r="E3" s="71" t="inlineStr">
        <is>
          <t>Cardiology</t>
        </is>
      </c>
      <c r="F3" s="71" t="inlineStr">
        <is>
          <t>BU Cardiovascular</t>
        </is>
      </c>
      <c r="G3" s="71" t="inlineStr">
        <is>
          <t>Investigator Meeting</t>
        </is>
      </c>
      <c r="H3" s="72" t="n">
        <v>45673</v>
      </c>
      <c r="I3" s="73" t="n">
        <v>306979.08</v>
      </c>
      <c r="J3" s="73" t="n">
        <v>311221.85</v>
      </c>
      <c r="K3" s="73" t="n">
        <v>308298.7</v>
      </c>
      <c r="L3" s="73" t="n">
        <v>327323.74</v>
      </c>
      <c r="M3" s="73" t="n">
        <v>327323.74</v>
      </c>
      <c r="N3" s="73" t="n">
        <v>208421.34</v>
      </c>
      <c r="O3" s="73" t="n">
        <v>0</v>
      </c>
      <c r="P3" s="73" t="n">
        <v>118902.4</v>
      </c>
      <c r="Q3" s="74" t="n">
        <v>-16101.89000000001</v>
      </c>
      <c r="R3" s="75" t="n">
        <v>-0.05173765916499763</v>
      </c>
      <c r="S3" s="71" t="inlineStr">
        <is>
          <t>FV1</t>
        </is>
      </c>
      <c r="T3" s="76" t="inlineStr">
        <is>
          <t>At Risk</t>
        </is>
      </c>
      <c r="U3" s="72" t="n">
        <v>45555</v>
      </c>
      <c r="V3" s="70" t="inlineStr">
        <is>
          <t>Maria Kowalski</t>
        </is>
      </c>
    </row>
    <row r="4" ht="18" customHeight="1">
      <c r="A4" s="62" t="inlineStr">
        <is>
          <t>EVT-2025-003</t>
        </is>
      </c>
      <c r="B4" s="63" t="inlineStr">
        <is>
          <t>Influximab Webinar Athens Apr 2025</t>
        </is>
      </c>
      <c r="C4" s="64" t="inlineStr">
        <is>
          <t>CC-9375</t>
        </is>
      </c>
      <c r="D4" s="64" t="inlineStr">
        <is>
          <t>GL-6315</t>
        </is>
      </c>
      <c r="E4" s="64" t="inlineStr">
        <is>
          <t>Immunology</t>
        </is>
      </c>
      <c r="F4" s="64" t="inlineStr">
        <is>
          <t>BU Immunology</t>
        </is>
      </c>
      <c r="G4" s="64" t="inlineStr">
        <is>
          <t>Webinar</t>
        </is>
      </c>
      <c r="H4" s="65" t="n">
        <v>45770</v>
      </c>
      <c r="I4" s="66" t="n">
        <v>383021.57</v>
      </c>
      <c r="J4" s="66" t="n">
        <v>404911.93</v>
      </c>
      <c r="K4" s="66" t="n">
        <v>409230.78</v>
      </c>
      <c r="L4" s="66" t="n">
        <v>411460.03</v>
      </c>
      <c r="M4" s="66" t="n">
        <v>411460.03</v>
      </c>
      <c r="N4" s="66" t="n">
        <v>287529.79</v>
      </c>
      <c r="O4" s="66" t="n">
        <v>259549.74</v>
      </c>
      <c r="P4" s="66" t="n">
        <v>123930.24</v>
      </c>
      <c r="Q4" s="77" t="n">
        <v>-6548.100000000035</v>
      </c>
      <c r="R4" s="68" t="n">
        <v>-0.01617166478646365</v>
      </c>
      <c r="S4" s="64" t="inlineStr">
        <is>
          <t>FV3</t>
        </is>
      </c>
      <c r="T4" s="69" t="inlineStr">
        <is>
          <t>On Track</t>
        </is>
      </c>
      <c r="U4" s="65" t="n">
        <v>45660</v>
      </c>
      <c r="V4" s="63" t="inlineStr">
        <is>
          <t>David O'Brien</t>
        </is>
      </c>
    </row>
    <row r="5" ht="18" customHeight="1">
      <c r="A5" s="62" t="inlineStr">
        <is>
          <t>EVT-2025-004</t>
        </is>
      </c>
      <c r="B5" s="70" t="inlineStr">
        <is>
          <t>Cognivex Investigator Meeting Stockholm May 2025</t>
        </is>
      </c>
      <c r="C5" s="71" t="inlineStr">
        <is>
          <t>CC-5649</t>
        </is>
      </c>
      <c r="D5" s="71" t="inlineStr">
        <is>
          <t>GL-6320</t>
        </is>
      </c>
      <c r="E5" s="71" t="inlineStr">
        <is>
          <t>Neurology</t>
        </is>
      </c>
      <c r="F5" s="71" t="inlineStr">
        <is>
          <t>BU Neuroscience</t>
        </is>
      </c>
      <c r="G5" s="71" t="inlineStr">
        <is>
          <t>Investigator Meeting</t>
        </is>
      </c>
      <c r="H5" s="72" t="n">
        <v>45800</v>
      </c>
      <c r="I5" s="73" t="n">
        <v>64571.98</v>
      </c>
      <c r="J5" s="73" t="n">
        <v>68365.39999999999</v>
      </c>
      <c r="K5" s="73" t="n">
        <v>71509.06</v>
      </c>
      <c r="L5" s="73" t="n">
        <v>75152.86</v>
      </c>
      <c r="M5" s="73" t="n">
        <v>75152.86</v>
      </c>
      <c r="N5" s="73" t="n">
        <v>59857.96</v>
      </c>
      <c r="O5" s="73" t="n">
        <v>0</v>
      </c>
      <c r="P5" s="73" t="n">
        <v>15294.9</v>
      </c>
      <c r="Q5" s="74" t="n">
        <v>-6787.460000000006</v>
      </c>
      <c r="R5" s="75" t="n">
        <v>-0.09928209298855864</v>
      </c>
      <c r="S5" s="71" t="inlineStr">
        <is>
          <t>FV1</t>
        </is>
      </c>
      <c r="T5" s="76" t="inlineStr">
        <is>
          <t>At Risk</t>
        </is>
      </c>
      <c r="U5" s="72" t="n">
        <v>45732</v>
      </c>
      <c r="V5" s="70" t="inlineStr">
        <is>
          <t>Emma Johansson</t>
        </is>
      </c>
    </row>
    <row r="6" ht="18" customHeight="1">
      <c r="A6" s="62" t="inlineStr">
        <is>
          <t>EVT-2025-005</t>
        </is>
      </c>
      <c r="B6" s="63" t="inlineStr">
        <is>
          <t>Hemaflex Launch Event Brussels Nov 2025</t>
        </is>
      </c>
      <c r="C6" s="64" t="inlineStr">
        <is>
          <t>CC-4848</t>
        </is>
      </c>
      <c r="D6" s="64" t="inlineStr">
        <is>
          <t>GL-6325</t>
        </is>
      </c>
      <c r="E6" s="64" t="inlineStr">
        <is>
          <t>Hematology</t>
        </is>
      </c>
      <c r="F6" s="64" t="inlineStr">
        <is>
          <t>BU Oncology</t>
        </is>
      </c>
      <c r="G6" s="64" t="inlineStr">
        <is>
          <t>Launch Event</t>
        </is>
      </c>
      <c r="H6" s="65" t="n">
        <v>45967</v>
      </c>
      <c r="I6" s="66" t="n">
        <v>237821.07</v>
      </c>
      <c r="J6" s="66" t="n">
        <v>245614.65</v>
      </c>
      <c r="K6" s="66" t="n">
        <v>248543.87</v>
      </c>
      <c r="L6" s="66" t="n">
        <v>243640.74</v>
      </c>
      <c r="M6" s="66" t="n">
        <v>243640.74</v>
      </c>
      <c r="N6" s="66" t="n">
        <v>226196.03</v>
      </c>
      <c r="O6" s="66" t="n">
        <v>0</v>
      </c>
      <c r="P6" s="66" t="n">
        <v>17444.70999999999</v>
      </c>
      <c r="Q6" s="67" t="n">
        <v>1973.910000000003</v>
      </c>
      <c r="R6" s="68" t="n">
        <v>0.008036613451192767</v>
      </c>
      <c r="S6" s="64" t="inlineStr">
        <is>
          <t>FV2</t>
        </is>
      </c>
      <c r="T6" s="69" t="inlineStr">
        <is>
          <t>On Track</t>
        </is>
      </c>
      <c r="U6" s="65" t="n">
        <v>45853</v>
      </c>
      <c r="V6" s="63" t="inlineStr">
        <is>
          <t>Ana García</t>
        </is>
      </c>
    </row>
    <row r="7" ht="18" customHeight="1">
      <c r="A7" s="62" t="inlineStr">
        <is>
          <t>EVT-2025-006</t>
        </is>
      </c>
      <c r="B7" s="70" t="inlineStr">
        <is>
          <t>Miotrex Advisory Board Istanbul May 2025</t>
        </is>
      </c>
      <c r="C7" s="71" t="inlineStr">
        <is>
          <t>CC-2193</t>
        </is>
      </c>
      <c r="D7" s="71" t="inlineStr">
        <is>
          <t>GL-6315</t>
        </is>
      </c>
      <c r="E7" s="71" t="inlineStr">
        <is>
          <t>Cardiology</t>
        </is>
      </c>
      <c r="F7" s="71" t="inlineStr">
        <is>
          <t>BU Cardiovascular</t>
        </is>
      </c>
      <c r="G7" s="71" t="inlineStr">
        <is>
          <t>Advisory Board</t>
        </is>
      </c>
      <c r="H7" s="72" t="n">
        <v>45808</v>
      </c>
      <c r="I7" s="73" t="n">
        <v>48734.25</v>
      </c>
      <c r="J7" s="73" t="n">
        <v>46886.44</v>
      </c>
      <c r="K7" s="73" t="n">
        <v>48323.8</v>
      </c>
      <c r="L7" s="73" t="n">
        <v>47657.36</v>
      </c>
      <c r="M7" s="73" t="n">
        <v>47657.36</v>
      </c>
      <c r="N7" s="73" t="n">
        <v>24819.77</v>
      </c>
      <c r="O7" s="73" t="n">
        <v>24700.16</v>
      </c>
      <c r="P7" s="73" t="n">
        <v>22837.59</v>
      </c>
      <c r="Q7" s="74" t="n">
        <v>-770.9199999999983</v>
      </c>
      <c r="R7" s="78" t="n">
        <v>-0.01644228053995992</v>
      </c>
      <c r="S7" s="71" t="inlineStr">
        <is>
          <t>FV1</t>
        </is>
      </c>
      <c r="T7" s="69" t="inlineStr">
        <is>
          <t>On Track</t>
        </is>
      </c>
      <c r="U7" s="72" t="n">
        <v>45694</v>
      </c>
      <c r="V7" s="70" t="inlineStr">
        <is>
          <t>Ana García</t>
        </is>
      </c>
    </row>
    <row r="8" ht="18" customHeight="1">
      <c r="A8" s="62" t="inlineStr">
        <is>
          <t>EVT-2025-007</t>
        </is>
      </c>
      <c r="B8" s="63" t="inlineStr">
        <is>
          <t>Bioflair Advisory Board Vienna Feb 2025</t>
        </is>
      </c>
      <c r="C8" s="64" t="inlineStr">
        <is>
          <t>CC-4997</t>
        </is>
      </c>
      <c r="D8" s="64" t="inlineStr">
        <is>
          <t>GL-6311</t>
        </is>
      </c>
      <c r="E8" s="64" t="inlineStr">
        <is>
          <t>Immunology</t>
        </is>
      </c>
      <c r="F8" s="64" t="inlineStr">
        <is>
          <t>BU Immunology</t>
        </is>
      </c>
      <c r="G8" s="64" t="inlineStr">
        <is>
          <t>Advisory Board</t>
        </is>
      </c>
      <c r="H8" s="65" t="n">
        <v>45709</v>
      </c>
      <c r="I8" s="66" t="n">
        <v>419543.56</v>
      </c>
      <c r="J8" s="66" t="n">
        <v>412364.42</v>
      </c>
      <c r="K8" s="66" t="n">
        <v>417715.48</v>
      </c>
      <c r="L8" s="66" t="n">
        <v>414118.06</v>
      </c>
      <c r="M8" s="66" t="n">
        <v>414118.06</v>
      </c>
      <c r="N8" s="66" t="n">
        <v>336826.82</v>
      </c>
      <c r="O8" s="66" t="n">
        <v>285734.62</v>
      </c>
      <c r="P8" s="66" t="n">
        <v>77291.23999999999</v>
      </c>
      <c r="Q8" s="77" t="n">
        <v>-1753.640000000014</v>
      </c>
      <c r="R8" s="68" t="n">
        <v>-0.004252646239459782</v>
      </c>
      <c r="S8" s="64" t="inlineStr">
        <is>
          <t>FV3</t>
        </is>
      </c>
      <c r="T8" s="69" t="inlineStr">
        <is>
          <t>On Track</t>
        </is>
      </c>
      <c r="U8" s="65" t="n">
        <v>45645</v>
      </c>
      <c r="V8" s="63" t="inlineStr">
        <is>
          <t>Lena Schneider</t>
        </is>
      </c>
    </row>
    <row r="9" ht="18" customHeight="1">
      <c r="A9" s="62" t="inlineStr">
        <is>
          <t>EVT-2025-008</t>
        </is>
      </c>
      <c r="B9" s="70" t="inlineStr">
        <is>
          <t>Axotrin Launch Event Amsterdam Dec 2025</t>
        </is>
      </c>
      <c r="C9" s="71" t="inlineStr">
        <is>
          <t>CC-7965</t>
        </is>
      </c>
      <c r="D9" s="71" t="inlineStr">
        <is>
          <t>GL-6311</t>
        </is>
      </c>
      <c r="E9" s="71" t="inlineStr">
        <is>
          <t>Neurology</t>
        </is>
      </c>
      <c r="F9" s="71" t="inlineStr">
        <is>
          <t>BU Neuroscience</t>
        </is>
      </c>
      <c r="G9" s="71" t="inlineStr">
        <is>
          <t>Launch Event</t>
        </is>
      </c>
      <c r="H9" s="72" t="n">
        <v>46001</v>
      </c>
      <c r="I9" s="73" t="n">
        <v>329297.16</v>
      </c>
      <c r="J9" s="73" t="n">
        <v>339575.05</v>
      </c>
      <c r="K9" s="73" t="n">
        <v>322784.59</v>
      </c>
      <c r="L9" s="73" t="n">
        <v>339765.03</v>
      </c>
      <c r="M9" s="73" t="n">
        <v>339765.03</v>
      </c>
      <c r="N9" s="73" t="n">
        <v>287618.16</v>
      </c>
      <c r="O9" s="73" t="n">
        <v>210529.64</v>
      </c>
      <c r="P9" s="73" t="n">
        <v>52146.87000000005</v>
      </c>
      <c r="Q9" s="74" t="n">
        <v>-189.9800000000396</v>
      </c>
      <c r="R9" s="78" t="n">
        <v>-0.0005594639535502964</v>
      </c>
      <c r="S9" s="71" t="inlineStr">
        <is>
          <t>FV3</t>
        </is>
      </c>
      <c r="T9" s="69" t="inlineStr">
        <is>
          <t>On Track</t>
        </is>
      </c>
      <c r="U9" s="72" t="n">
        <v>45894</v>
      </c>
      <c r="V9" s="70" t="inlineStr">
        <is>
          <t>Sophie Müller</t>
        </is>
      </c>
    </row>
    <row r="10" ht="18" customHeight="1">
      <c r="A10" s="62" t="inlineStr">
        <is>
          <t>EVT-2025-009</t>
        </is>
      </c>
      <c r="B10" s="63" t="inlineStr">
        <is>
          <t>Cognivex KOL Meeting Milan Aug 2025</t>
        </is>
      </c>
      <c r="C10" s="64" t="inlineStr">
        <is>
          <t>CC-5082</t>
        </is>
      </c>
      <c r="D10" s="64" t="inlineStr">
        <is>
          <t>GL-6330</t>
        </is>
      </c>
      <c r="E10" s="64" t="inlineStr">
        <is>
          <t>Neurology</t>
        </is>
      </c>
      <c r="F10" s="64" t="inlineStr">
        <is>
          <t>BU Neuroscience</t>
        </is>
      </c>
      <c r="G10" s="64" t="inlineStr">
        <is>
          <t>KOL Meeting</t>
        </is>
      </c>
      <c r="H10" s="65" t="n">
        <v>45894</v>
      </c>
      <c r="I10" s="66" t="n">
        <v>348758.55</v>
      </c>
      <c r="J10" s="66" t="n">
        <v>326151.09</v>
      </c>
      <c r="K10" s="66" t="n">
        <v>341087.7</v>
      </c>
      <c r="L10" s="66" t="n">
        <v>350288.66</v>
      </c>
      <c r="M10" s="66" t="n">
        <v>350288.66</v>
      </c>
      <c r="N10" s="66" t="n">
        <v>183060.25</v>
      </c>
      <c r="O10" s="66" t="n">
        <v>0</v>
      </c>
      <c r="P10" s="66" t="n">
        <v>167228.41</v>
      </c>
      <c r="Q10" s="77" t="n">
        <v>-24137.56999999995</v>
      </c>
      <c r="R10" s="79" t="n">
        <v>-0.07400732586851065</v>
      </c>
      <c r="S10" s="64" t="inlineStr">
        <is>
          <t>FV3</t>
        </is>
      </c>
      <c r="T10" s="76" t="inlineStr">
        <is>
          <t>At Risk</t>
        </is>
      </c>
      <c r="U10" s="65" t="n">
        <v>45847</v>
      </c>
      <c r="V10" s="63" t="inlineStr">
        <is>
          <t>Maria Kowalski</t>
        </is>
      </c>
    </row>
    <row r="11" ht="18" customHeight="1">
      <c r="A11" s="62" t="inlineStr">
        <is>
          <t>EVT-2025-010</t>
        </is>
      </c>
      <c r="B11" s="70" t="inlineStr">
        <is>
          <t>Influximab Launch Event Barcelona Apr 2025</t>
        </is>
      </c>
      <c r="C11" s="71" t="inlineStr">
        <is>
          <t>CC-6198</t>
        </is>
      </c>
      <c r="D11" s="71" t="inlineStr">
        <is>
          <t>GL-6330</t>
        </is>
      </c>
      <c r="E11" s="71" t="inlineStr">
        <is>
          <t>Immunology</t>
        </is>
      </c>
      <c r="F11" s="71" t="inlineStr">
        <is>
          <t>BU Immunology</t>
        </is>
      </c>
      <c r="G11" s="71" t="inlineStr">
        <is>
          <t>Launch Event</t>
        </is>
      </c>
      <c r="H11" s="72" t="n">
        <v>45775</v>
      </c>
      <c r="I11" s="73" t="n">
        <v>144854.32</v>
      </c>
      <c r="J11" s="73" t="n">
        <v>133884.75</v>
      </c>
      <c r="K11" s="73" t="n">
        <v>128975.72</v>
      </c>
      <c r="L11" s="73" t="n">
        <v>131698.49</v>
      </c>
      <c r="M11" s="73" t="n">
        <v>131698.49</v>
      </c>
      <c r="N11" s="73" t="n">
        <v>97326.42</v>
      </c>
      <c r="O11" s="73" t="n">
        <v>0</v>
      </c>
      <c r="P11" s="73" t="n">
        <v>34372.06999999999</v>
      </c>
      <c r="Q11" s="80" t="n">
        <v>2186.260000000009</v>
      </c>
      <c r="R11" s="78" t="n">
        <v>0.01632941765212251</v>
      </c>
      <c r="S11" s="71" t="inlineStr">
        <is>
          <t>FV2</t>
        </is>
      </c>
      <c r="T11" s="69" t="inlineStr">
        <is>
          <t>On Track</t>
        </is>
      </c>
      <c r="U11" s="72" t="n">
        <v>45732</v>
      </c>
      <c r="V11" s="70" t="inlineStr">
        <is>
          <t>James Wilson</t>
        </is>
      </c>
    </row>
    <row r="12" ht="18" customHeight="1">
      <c r="A12" s="62" t="inlineStr">
        <is>
          <t>EVT-2025-011</t>
        </is>
      </c>
      <c r="B12" s="63" t="inlineStr">
        <is>
          <t>Influximab Launch Event Amsterdam Dec 2025</t>
        </is>
      </c>
      <c r="C12" s="64" t="inlineStr">
        <is>
          <t>CC-9976</t>
        </is>
      </c>
      <c r="D12" s="64" t="inlineStr">
        <is>
          <t>GL-6315</t>
        </is>
      </c>
      <c r="E12" s="64" t="inlineStr">
        <is>
          <t>Immunology</t>
        </is>
      </c>
      <c r="F12" s="64" t="inlineStr">
        <is>
          <t>BU Immunology</t>
        </is>
      </c>
      <c r="G12" s="64" t="inlineStr">
        <is>
          <t>Launch Event</t>
        </is>
      </c>
      <c r="H12" s="65" t="n">
        <v>45993</v>
      </c>
      <c r="I12" s="66" t="n">
        <v>237543.15</v>
      </c>
      <c r="J12" s="66" t="n">
        <v>256139.26</v>
      </c>
      <c r="K12" s="66" t="n">
        <v>259024.73</v>
      </c>
      <c r="L12" s="66" t="n">
        <v>271748.06</v>
      </c>
      <c r="M12" s="66" t="n">
        <v>271748.06</v>
      </c>
      <c r="N12" s="66" t="n">
        <v>197601.65</v>
      </c>
      <c r="O12" s="66" t="n">
        <v>187557.71</v>
      </c>
      <c r="P12" s="66" t="n">
        <v>74146.41</v>
      </c>
      <c r="Q12" s="77" t="n">
        <v>-15608.79999999999</v>
      </c>
      <c r="R12" s="79" t="n">
        <v>-0.06093872528561217</v>
      </c>
      <c r="S12" s="64" t="inlineStr">
        <is>
          <t>FV3</t>
        </is>
      </c>
      <c r="T12" s="76" t="inlineStr">
        <is>
          <t>At Risk</t>
        </is>
      </c>
      <c r="U12" s="65" t="n">
        <v>45884</v>
      </c>
      <c r="V12" s="63" t="inlineStr">
        <is>
          <t>Marco Bianchi</t>
        </is>
      </c>
    </row>
    <row r="13" ht="18" customHeight="1">
      <c r="A13" s="62" t="inlineStr">
        <is>
          <t>EVT-2025-012</t>
        </is>
      </c>
      <c r="B13" s="70" t="inlineStr">
        <is>
          <t>Rarzolene KOL Meeting Istanbul Oct 2025</t>
        </is>
      </c>
      <c r="C13" s="71" t="inlineStr">
        <is>
          <t>CC-5543</t>
        </is>
      </c>
      <c r="D13" s="71" t="inlineStr">
        <is>
          <t>GL-6330</t>
        </is>
      </c>
      <c r="E13" s="71" t="inlineStr">
        <is>
          <t>Rare Diseases</t>
        </is>
      </c>
      <c r="F13" s="71" t="inlineStr">
        <is>
          <t>BU Rare Diseases</t>
        </is>
      </c>
      <c r="G13" s="71" t="inlineStr">
        <is>
          <t>KOL Meeting</t>
        </is>
      </c>
      <c r="H13" s="72" t="n">
        <v>45933</v>
      </c>
      <c r="I13" s="73" t="n">
        <v>450444.1</v>
      </c>
      <c r="J13" s="73" t="n">
        <v>486228.11</v>
      </c>
      <c r="K13" s="73" t="n">
        <v>498075.32</v>
      </c>
      <c r="L13" s="73" t="n">
        <v>509139.66</v>
      </c>
      <c r="M13" s="73" t="n">
        <v>509139.66</v>
      </c>
      <c r="N13" s="73" t="n">
        <v>313953.94</v>
      </c>
      <c r="O13" s="73" t="n">
        <v>243054.32</v>
      </c>
      <c r="P13" s="73" t="n">
        <v>195185.72</v>
      </c>
      <c r="Q13" s="74" t="n">
        <v>-22911.54999999999</v>
      </c>
      <c r="R13" s="78" t="n">
        <v>-0.04712099018709549</v>
      </c>
      <c r="S13" s="71" t="inlineStr">
        <is>
          <t>FV1</t>
        </is>
      </c>
      <c r="T13" s="69" t="inlineStr">
        <is>
          <t>On Track</t>
        </is>
      </c>
      <c r="U13" s="72" t="n">
        <v>45867</v>
      </c>
      <c r="V13" s="70" t="inlineStr">
        <is>
          <t>Emma Johansson</t>
        </is>
      </c>
    </row>
    <row r="14" ht="18" customHeight="1">
      <c r="A14" s="62" t="inlineStr">
        <is>
          <t>EVT-2025-013</t>
        </is>
      </c>
      <c r="B14" s="63" t="inlineStr">
        <is>
          <t>Thrombovex KOL Meeting Berlin Sep 2025</t>
        </is>
      </c>
      <c r="C14" s="64" t="inlineStr">
        <is>
          <t>CC-5681</t>
        </is>
      </c>
      <c r="D14" s="64" t="inlineStr">
        <is>
          <t>GL-6311</t>
        </is>
      </c>
      <c r="E14" s="64" t="inlineStr">
        <is>
          <t>Hematology</t>
        </is>
      </c>
      <c r="F14" s="64" t="inlineStr">
        <is>
          <t>BU Oncology</t>
        </is>
      </c>
      <c r="G14" s="64" t="inlineStr">
        <is>
          <t>KOL Meeting</t>
        </is>
      </c>
      <c r="H14" s="65" t="n">
        <v>45918</v>
      </c>
      <c r="I14" s="66" t="n">
        <v>432634.91</v>
      </c>
      <c r="J14" s="66" t="n">
        <v>456661.28</v>
      </c>
      <c r="K14" s="66" t="n">
        <v>455957.89</v>
      </c>
      <c r="L14" s="66" t="n">
        <v>454278.62</v>
      </c>
      <c r="M14" s="66" t="n">
        <v>454278.62</v>
      </c>
      <c r="N14" s="66" t="n">
        <v>317060.43</v>
      </c>
      <c r="O14" s="66" t="n">
        <v>0</v>
      </c>
      <c r="P14" s="66" t="n">
        <v>137218.19</v>
      </c>
      <c r="Q14" s="67" t="n">
        <v>2382.660000000033</v>
      </c>
      <c r="R14" s="68" t="n">
        <v>0.005217565194053747</v>
      </c>
      <c r="S14" s="64" t="inlineStr">
        <is>
          <t>FV1</t>
        </is>
      </c>
      <c r="T14" s="69" t="inlineStr">
        <is>
          <t>On Track</t>
        </is>
      </c>
      <c r="U14" s="65" t="n">
        <v>45875</v>
      </c>
      <c r="V14" s="63" t="inlineStr">
        <is>
          <t>James Wilson</t>
        </is>
      </c>
    </row>
    <row r="15" ht="18" customHeight="1">
      <c r="A15" s="62" t="inlineStr">
        <is>
          <t>EVT-2025-014</t>
        </is>
      </c>
      <c r="B15" s="70" t="inlineStr">
        <is>
          <t>Cognivex Speaker Program Athens Nov 2025</t>
        </is>
      </c>
      <c r="C15" s="71" t="inlineStr">
        <is>
          <t>CC-3503</t>
        </is>
      </c>
      <c r="D15" s="71" t="inlineStr">
        <is>
          <t>GL-6325</t>
        </is>
      </c>
      <c r="E15" s="71" t="inlineStr">
        <is>
          <t>Neurology</t>
        </is>
      </c>
      <c r="F15" s="71" t="inlineStr">
        <is>
          <t>BU Neuroscience</t>
        </is>
      </c>
      <c r="G15" s="71" t="inlineStr">
        <is>
          <t>Speaker Program</t>
        </is>
      </c>
      <c r="H15" s="72" t="n">
        <v>45963</v>
      </c>
      <c r="I15" s="73" t="n">
        <v>498118.87</v>
      </c>
      <c r="J15" s="73" t="n">
        <v>475376.27</v>
      </c>
      <c r="K15" s="73" t="n">
        <v>466805.69</v>
      </c>
      <c r="L15" s="73" t="n">
        <v>480537.59</v>
      </c>
      <c r="M15" s="73" t="n">
        <v>480537.59</v>
      </c>
      <c r="N15" s="73" t="n">
        <v>270191.07</v>
      </c>
      <c r="O15" s="73" t="n">
        <v>207879.18</v>
      </c>
      <c r="P15" s="73" t="n">
        <v>210346.52</v>
      </c>
      <c r="Q15" s="74" t="n">
        <v>-5161.320000000007</v>
      </c>
      <c r="R15" s="78" t="n">
        <v>-0.01085733623178121</v>
      </c>
      <c r="S15" s="71" t="inlineStr">
        <is>
          <t>FV2</t>
        </is>
      </c>
      <c r="T15" s="69" t="inlineStr">
        <is>
          <t>On Track</t>
        </is>
      </c>
      <c r="U15" s="72" t="n">
        <v>45908</v>
      </c>
      <c r="V15" s="70" t="inlineStr">
        <is>
          <t>Ana García</t>
        </is>
      </c>
    </row>
    <row r="16" ht="18" customHeight="1">
      <c r="A16" s="62" t="inlineStr">
        <is>
          <t>EVT-2025-015</t>
        </is>
      </c>
      <c r="B16" s="63" t="inlineStr">
        <is>
          <t>Orphavex Congress Paris Dec 2025</t>
        </is>
      </c>
      <c r="C16" s="64" t="inlineStr">
        <is>
          <t>CC-7883</t>
        </is>
      </c>
      <c r="D16" s="64" t="inlineStr">
        <is>
          <t>GL-6315</t>
        </is>
      </c>
      <c r="E16" s="64" t="inlineStr">
        <is>
          <t>Rare Diseases</t>
        </is>
      </c>
      <c r="F16" s="64" t="inlineStr">
        <is>
          <t>BU Rare Diseases</t>
        </is>
      </c>
      <c r="G16" s="64" t="inlineStr">
        <is>
          <t>Congress</t>
        </is>
      </c>
      <c r="H16" s="65" t="n">
        <v>46007</v>
      </c>
      <c r="I16" s="66" t="n">
        <v>179985.1</v>
      </c>
      <c r="J16" s="66" t="n">
        <v>169688.26</v>
      </c>
      <c r="K16" s="66" t="n">
        <v>168243.67</v>
      </c>
      <c r="L16" s="66" t="n">
        <v>169319.92</v>
      </c>
      <c r="M16" s="66" t="n">
        <v>169319.92</v>
      </c>
      <c r="N16" s="66" t="n">
        <v>120160.58</v>
      </c>
      <c r="O16" s="66" t="n">
        <v>86356.97</v>
      </c>
      <c r="P16" s="66" t="n">
        <v>49159.34000000001</v>
      </c>
      <c r="Q16" s="67" t="n">
        <v>368.3399999999965</v>
      </c>
      <c r="R16" s="68" t="n">
        <v>0.002170686410479997</v>
      </c>
      <c r="S16" s="64" t="inlineStr">
        <is>
          <t>FV3</t>
        </is>
      </c>
      <c r="T16" s="69" t="inlineStr">
        <is>
          <t>On Track</t>
        </is>
      </c>
      <c r="U16" s="65" t="n">
        <v>45952</v>
      </c>
      <c r="V16" s="63" t="inlineStr">
        <is>
          <t>Ana García</t>
        </is>
      </c>
    </row>
    <row r="17" ht="18" customHeight="1">
      <c r="A17" s="62" t="inlineStr">
        <is>
          <t>EVT-2025-016</t>
        </is>
      </c>
      <c r="B17" s="70" t="inlineStr">
        <is>
          <t>Genetrix Speaker Program Warsaw Jan 2025</t>
        </is>
      </c>
      <c r="C17" s="71" t="inlineStr">
        <is>
          <t>CC-7232</t>
        </is>
      </c>
      <c r="D17" s="71" t="inlineStr">
        <is>
          <t>GL-6315</t>
        </is>
      </c>
      <c r="E17" s="71" t="inlineStr">
        <is>
          <t>Rare Diseases</t>
        </is>
      </c>
      <c r="F17" s="71" t="inlineStr">
        <is>
          <t>BU Rare Diseases</t>
        </is>
      </c>
      <c r="G17" s="71" t="inlineStr">
        <is>
          <t>Speaker Program</t>
        </is>
      </c>
      <c r="H17" s="72" t="n">
        <v>45659</v>
      </c>
      <c r="I17" s="73" t="n">
        <v>261225.61</v>
      </c>
      <c r="J17" s="73" t="n">
        <v>282376.45</v>
      </c>
      <c r="K17" s="73" t="n">
        <v>284750.65</v>
      </c>
      <c r="L17" s="73" t="n">
        <v>297993.7</v>
      </c>
      <c r="M17" s="73" t="n">
        <v>297993.7</v>
      </c>
      <c r="N17" s="73" t="n">
        <v>263882.19</v>
      </c>
      <c r="O17" s="73" t="n">
        <v>245325.57</v>
      </c>
      <c r="P17" s="73" t="n">
        <v>34111.51000000001</v>
      </c>
      <c r="Q17" s="74" t="n">
        <v>-15617.25</v>
      </c>
      <c r="R17" s="75" t="n">
        <v>-0.05530648890868909</v>
      </c>
      <c r="S17" s="71" t="inlineStr">
        <is>
          <t>FV2</t>
        </is>
      </c>
      <c r="T17" s="76" t="inlineStr">
        <is>
          <t>At Risk</t>
        </is>
      </c>
      <c r="U17" s="72" t="n">
        <v>45563</v>
      </c>
      <c r="V17" s="70" t="inlineStr">
        <is>
          <t>Thomas Dubois</t>
        </is>
      </c>
    </row>
    <row r="18" ht="18" customHeight="1">
      <c r="A18" s="62" t="inlineStr">
        <is>
          <t>EVT-2025-017</t>
        </is>
      </c>
      <c r="B18" s="63" t="inlineStr">
        <is>
          <t>Eplitazan Internal Meeting Budapest Nov 2025</t>
        </is>
      </c>
      <c r="C18" s="64" t="inlineStr">
        <is>
          <t>CC-7865</t>
        </is>
      </c>
      <c r="D18" s="64" t="inlineStr">
        <is>
          <t>GL-6320</t>
        </is>
      </c>
      <c r="E18" s="64" t="inlineStr">
        <is>
          <t>Cardiology</t>
        </is>
      </c>
      <c r="F18" s="64" t="inlineStr">
        <is>
          <t>BU Cardiovascular</t>
        </is>
      </c>
      <c r="G18" s="64" t="inlineStr">
        <is>
          <t>Internal Meeting</t>
        </is>
      </c>
      <c r="H18" s="65" t="n">
        <v>45969</v>
      </c>
      <c r="I18" s="66" t="n">
        <v>276598.83</v>
      </c>
      <c r="J18" s="66" t="n">
        <v>249265.12</v>
      </c>
      <c r="K18" s="66" t="n">
        <v>245569.98</v>
      </c>
      <c r="L18" s="66" t="n">
        <v>258556.28</v>
      </c>
      <c r="M18" s="66" t="n">
        <v>258556.28</v>
      </c>
      <c r="N18" s="66" t="n">
        <v>228577.09</v>
      </c>
      <c r="O18" s="66" t="n">
        <v>0</v>
      </c>
      <c r="P18" s="66" t="n">
        <v>29979.19</v>
      </c>
      <c r="Q18" s="77" t="n">
        <v>-9291.160000000003</v>
      </c>
      <c r="R18" s="68" t="n">
        <v>-0.03727420828072537</v>
      </c>
      <c r="S18" s="64" t="inlineStr">
        <is>
          <t>FV1</t>
        </is>
      </c>
      <c r="T18" s="69" t="inlineStr">
        <is>
          <t>On Track</t>
        </is>
      </c>
      <c r="U18" s="65" t="n">
        <v>45894</v>
      </c>
      <c r="V18" s="63" t="inlineStr">
        <is>
          <t>Lucas Dupont</t>
        </is>
      </c>
    </row>
    <row r="19" ht="18" customHeight="1">
      <c r="A19" s="62" t="inlineStr">
        <is>
          <t>EVT-2025-018</t>
        </is>
      </c>
      <c r="B19" s="70" t="inlineStr">
        <is>
          <t>Caprexosin Launch Event Prague Jan 2025</t>
        </is>
      </c>
      <c r="C19" s="71" t="inlineStr">
        <is>
          <t>CC-8140</t>
        </is>
      </c>
      <c r="D19" s="71" t="inlineStr">
        <is>
          <t>GL-6315</t>
        </is>
      </c>
      <c r="E19" s="71" t="inlineStr">
        <is>
          <t>Oncology</t>
        </is>
      </c>
      <c r="F19" s="71" t="inlineStr">
        <is>
          <t>BU Oncology</t>
        </is>
      </c>
      <c r="G19" s="71" t="inlineStr">
        <is>
          <t>Launch Event</t>
        </is>
      </c>
      <c r="H19" s="72" t="n">
        <v>45667</v>
      </c>
      <c r="I19" s="73" t="n">
        <v>131134.37</v>
      </c>
      <c r="J19" s="73" t="n">
        <v>137625.93</v>
      </c>
      <c r="K19" s="73" t="n">
        <v>138260.83</v>
      </c>
      <c r="L19" s="73" t="n">
        <v>143287.69</v>
      </c>
      <c r="M19" s="73" t="n">
        <v>143287.69</v>
      </c>
      <c r="N19" s="73" t="n">
        <v>85864.06</v>
      </c>
      <c r="O19" s="73" t="n">
        <v>65756.97</v>
      </c>
      <c r="P19" s="73" t="n">
        <v>57423.63</v>
      </c>
      <c r="Q19" s="74" t="n">
        <v>-5661.760000000009</v>
      </c>
      <c r="R19" s="78" t="n">
        <v>-0.04113875924398847</v>
      </c>
      <c r="S19" s="71" t="inlineStr">
        <is>
          <t>FV3</t>
        </is>
      </c>
      <c r="T19" s="69" t="inlineStr">
        <is>
          <t>On Track</t>
        </is>
      </c>
      <c r="U19" s="72" t="n">
        <v>45585</v>
      </c>
      <c r="V19" s="70" t="inlineStr">
        <is>
          <t>Emma Johansson</t>
        </is>
      </c>
    </row>
    <row r="20" ht="18" customHeight="1">
      <c r="A20" s="62" t="inlineStr">
        <is>
          <t>EVT-2025-019</t>
        </is>
      </c>
      <c r="B20" s="63" t="inlineStr">
        <is>
          <t>Influximab Advisory Board London Sep 2025</t>
        </is>
      </c>
      <c r="C20" s="64" t="inlineStr">
        <is>
          <t>CC-8657</t>
        </is>
      </c>
      <c r="D20" s="64" t="inlineStr">
        <is>
          <t>GL-6311</t>
        </is>
      </c>
      <c r="E20" s="64" t="inlineStr">
        <is>
          <t>Immunology</t>
        </is>
      </c>
      <c r="F20" s="64" t="inlineStr">
        <is>
          <t>BU Immunology</t>
        </is>
      </c>
      <c r="G20" s="64" t="inlineStr">
        <is>
          <t>Advisory Board</t>
        </is>
      </c>
      <c r="H20" s="65" t="n">
        <v>45906</v>
      </c>
      <c r="I20" s="66" t="n">
        <v>386429.7</v>
      </c>
      <c r="J20" s="66" t="n">
        <v>350029.94</v>
      </c>
      <c r="K20" s="66" t="n">
        <v>344293.98</v>
      </c>
      <c r="L20" s="66" t="n">
        <v>359685.85</v>
      </c>
      <c r="M20" s="66" t="n">
        <v>359685.85</v>
      </c>
      <c r="N20" s="66" t="n">
        <v>245285.07</v>
      </c>
      <c r="O20" s="66" t="n">
        <v>183844.45</v>
      </c>
      <c r="P20" s="66" t="n">
        <v>114400.78</v>
      </c>
      <c r="Q20" s="77" t="n">
        <v>-9655.909999999974</v>
      </c>
      <c r="R20" s="68" t="n">
        <v>-0.0275859545043489</v>
      </c>
      <c r="S20" s="64" t="inlineStr">
        <is>
          <t>FV2</t>
        </is>
      </c>
      <c r="T20" s="69" t="inlineStr">
        <is>
          <t>On Track</t>
        </is>
      </c>
      <c r="U20" s="65" t="n">
        <v>45856</v>
      </c>
      <c r="V20" s="63" t="inlineStr">
        <is>
          <t>Emma Johansson</t>
        </is>
      </c>
    </row>
    <row r="21" ht="18" customHeight="1">
      <c r="A21" s="62" t="inlineStr">
        <is>
          <t>EVT-2025-020</t>
        </is>
      </c>
      <c r="B21" s="70" t="inlineStr">
        <is>
          <t>Cognivex Symposium Istanbul Mar 2025</t>
        </is>
      </c>
      <c r="C21" s="71" t="inlineStr">
        <is>
          <t>CC-2375</t>
        </is>
      </c>
      <c r="D21" s="71" t="inlineStr">
        <is>
          <t>GL-6325</t>
        </is>
      </c>
      <c r="E21" s="71" t="inlineStr">
        <is>
          <t>Neurology</t>
        </is>
      </c>
      <c r="F21" s="71" t="inlineStr">
        <is>
          <t>BU Neuroscience</t>
        </is>
      </c>
      <c r="G21" s="71" t="inlineStr">
        <is>
          <t>Symposium</t>
        </is>
      </c>
      <c r="H21" s="72" t="n">
        <v>45742</v>
      </c>
      <c r="I21" s="73" t="n">
        <v>220221.9</v>
      </c>
      <c r="J21" s="73" t="n">
        <v>241395</v>
      </c>
      <c r="K21" s="73" t="n">
        <v>242218.73</v>
      </c>
      <c r="L21" s="73" t="n">
        <v>259116.44</v>
      </c>
      <c r="M21" s="73" t="n">
        <v>259116.44</v>
      </c>
      <c r="N21" s="73" t="n">
        <v>198574.34</v>
      </c>
      <c r="O21" s="73" t="n">
        <v>178498.46</v>
      </c>
      <c r="P21" s="73" t="n">
        <v>60542.10000000001</v>
      </c>
      <c r="Q21" s="74" t="n">
        <v>-17721.44</v>
      </c>
      <c r="R21" s="75" t="n">
        <v>-0.07341262246525405</v>
      </c>
      <c r="S21" s="71" t="inlineStr">
        <is>
          <t>FV1</t>
        </is>
      </c>
      <c r="T21" s="76" t="inlineStr">
        <is>
          <t>At Risk</t>
        </is>
      </c>
      <c r="U21" s="72" t="n">
        <v>45642</v>
      </c>
      <c r="V21" s="70" t="inlineStr">
        <is>
          <t>Lucas Dupont</t>
        </is>
      </c>
    </row>
    <row r="22" ht="18" customHeight="1">
      <c r="A22" s="62" t="inlineStr">
        <is>
          <t>EVT-2025-021</t>
        </is>
      </c>
      <c r="B22" s="63" t="inlineStr">
        <is>
          <t>Influximab KOL Meeting Copenhagen Jul 2025</t>
        </is>
      </c>
      <c r="C22" s="64" t="inlineStr">
        <is>
          <t>CC-8449</t>
        </is>
      </c>
      <c r="D22" s="64" t="inlineStr">
        <is>
          <t>GL-6312</t>
        </is>
      </c>
      <c r="E22" s="64" t="inlineStr">
        <is>
          <t>Immunology</t>
        </is>
      </c>
      <c r="F22" s="64" t="inlineStr">
        <is>
          <t>BU Immunology</t>
        </is>
      </c>
      <c r="G22" s="64" t="inlineStr">
        <is>
          <t>KOL Meeting</t>
        </is>
      </c>
      <c r="H22" s="65" t="n">
        <v>45862</v>
      </c>
      <c r="I22" s="66" t="n">
        <v>233970.78</v>
      </c>
      <c r="J22" s="66" t="n">
        <v>230630.27</v>
      </c>
      <c r="K22" s="66" t="n">
        <v>239090.97</v>
      </c>
      <c r="L22" s="66" t="n">
        <v>236697.72</v>
      </c>
      <c r="M22" s="66" t="n">
        <v>236697.72</v>
      </c>
      <c r="N22" s="66" t="n">
        <v>146059.14</v>
      </c>
      <c r="O22" s="66" t="n">
        <v>116585.25</v>
      </c>
      <c r="P22" s="66" t="n">
        <v>90638.57999999999</v>
      </c>
      <c r="Q22" s="77" t="n">
        <v>-6067.450000000012</v>
      </c>
      <c r="R22" s="68" t="n">
        <v>-0.02630812512165039</v>
      </c>
      <c r="S22" s="64" t="inlineStr">
        <is>
          <t>FV2</t>
        </is>
      </c>
      <c r="T22" s="69" t="inlineStr">
        <is>
          <t>On Track</t>
        </is>
      </c>
      <c r="U22" s="65" t="n">
        <v>45806</v>
      </c>
      <c r="V22" s="63" t="inlineStr">
        <is>
          <t>Lena Schneider</t>
        </is>
      </c>
    </row>
    <row r="23" ht="18" customHeight="1">
      <c r="A23" s="62" t="inlineStr">
        <is>
          <t>EVT-2025-022</t>
        </is>
      </c>
      <c r="B23" s="70" t="inlineStr">
        <is>
          <t>Imunexal Advisory Board Stockholm Jan 2025</t>
        </is>
      </c>
      <c r="C23" s="71" t="inlineStr">
        <is>
          <t>CC-2341</t>
        </is>
      </c>
      <c r="D23" s="71" t="inlineStr">
        <is>
          <t>GL-6315</t>
        </is>
      </c>
      <c r="E23" s="71" t="inlineStr">
        <is>
          <t>Immunology</t>
        </is>
      </c>
      <c r="F23" s="71" t="inlineStr">
        <is>
          <t>BU Immunology</t>
        </is>
      </c>
      <c r="G23" s="71" t="inlineStr">
        <is>
          <t>Advisory Board</t>
        </is>
      </c>
      <c r="H23" s="72" t="n">
        <v>45668</v>
      </c>
      <c r="I23" s="73" t="n">
        <v>49431.65</v>
      </c>
      <c r="J23" s="73" t="n">
        <v>47825.13</v>
      </c>
      <c r="K23" s="73" t="n">
        <v>49640.76</v>
      </c>
      <c r="L23" s="73" t="n">
        <v>49670.95</v>
      </c>
      <c r="M23" s="73" t="n">
        <v>49670.95</v>
      </c>
      <c r="N23" s="73" t="n">
        <v>46096.72</v>
      </c>
      <c r="O23" s="73" t="n">
        <v>38097.53</v>
      </c>
      <c r="P23" s="73" t="n">
        <v>3574.229999999996</v>
      </c>
      <c r="Q23" s="74" t="n">
        <v>-1845.82</v>
      </c>
      <c r="R23" s="78" t="n">
        <v>-0.03859519043649227</v>
      </c>
      <c r="S23" s="71" t="inlineStr">
        <is>
          <t>FV3</t>
        </is>
      </c>
      <c r="T23" s="69" t="inlineStr">
        <is>
          <t>On Track</t>
        </is>
      </c>
      <c r="U23" s="72" t="n">
        <v>45577</v>
      </c>
      <c r="V23" s="70" t="inlineStr">
        <is>
          <t>Marco Bianchi</t>
        </is>
      </c>
    </row>
    <row r="24" ht="18" customHeight="1">
      <c r="A24" s="62" t="inlineStr">
        <is>
          <t>EVT-2025-023</t>
        </is>
      </c>
      <c r="B24" s="63" t="inlineStr">
        <is>
          <t>Nexolimab Advisory Board Barcelona Jun 2025</t>
        </is>
      </c>
      <c r="C24" s="64" t="inlineStr">
        <is>
          <t>CC-1659</t>
        </is>
      </c>
      <c r="D24" s="64" t="inlineStr">
        <is>
          <t>GL-6330</t>
        </is>
      </c>
      <c r="E24" s="64" t="inlineStr">
        <is>
          <t>Oncology</t>
        </is>
      </c>
      <c r="F24" s="64" t="inlineStr">
        <is>
          <t>BU Oncology</t>
        </is>
      </c>
      <c r="G24" s="64" t="inlineStr">
        <is>
          <t>Advisory Board</t>
        </is>
      </c>
      <c r="H24" s="65" t="n">
        <v>45827</v>
      </c>
      <c r="I24" s="66" t="n">
        <v>339454.22</v>
      </c>
      <c r="J24" s="66" t="n">
        <v>306824.75</v>
      </c>
      <c r="K24" s="66" t="n">
        <v>308034.22</v>
      </c>
      <c r="L24" s="66" t="n">
        <v>332673.83</v>
      </c>
      <c r="M24" s="66" t="n">
        <v>332673.83</v>
      </c>
      <c r="N24" s="66" t="n">
        <v>218727.11</v>
      </c>
      <c r="O24" s="66" t="n">
        <v>195770.22</v>
      </c>
      <c r="P24" s="66" t="n">
        <v>113946.72</v>
      </c>
      <c r="Q24" s="77" t="n">
        <v>-25849.08000000002</v>
      </c>
      <c r="R24" s="79" t="n">
        <v>-0.08424704982241496</v>
      </c>
      <c r="S24" s="64" t="inlineStr">
        <is>
          <t>FV2</t>
        </is>
      </c>
      <c r="T24" s="76" t="inlineStr">
        <is>
          <t>At Risk</t>
        </is>
      </c>
      <c r="U24" s="65" t="n">
        <v>45767</v>
      </c>
      <c r="V24" s="63" t="inlineStr">
        <is>
          <t>Thomas Dubois</t>
        </is>
      </c>
    </row>
    <row r="25" ht="18" customHeight="1">
      <c r="A25" s="62" t="inlineStr">
        <is>
          <t>EVT-2025-024</t>
        </is>
      </c>
      <c r="B25" s="70" t="inlineStr">
        <is>
          <t>Influximab Speaker Program Dublin Oct 2025</t>
        </is>
      </c>
      <c r="C25" s="71" t="inlineStr">
        <is>
          <t>CC-4908</t>
        </is>
      </c>
      <c r="D25" s="71" t="inlineStr">
        <is>
          <t>GL-6311</t>
        </is>
      </c>
      <c r="E25" s="71" t="inlineStr">
        <is>
          <t>Immunology</t>
        </is>
      </c>
      <c r="F25" s="71" t="inlineStr">
        <is>
          <t>BU Immunology</t>
        </is>
      </c>
      <c r="G25" s="71" t="inlineStr">
        <is>
          <t>Speaker Program</t>
        </is>
      </c>
      <c r="H25" s="72" t="n">
        <v>45953</v>
      </c>
      <c r="I25" s="73" t="n">
        <v>406636.04</v>
      </c>
      <c r="J25" s="73" t="n">
        <v>368496.02</v>
      </c>
      <c r="K25" s="73" t="n">
        <v>359183.51</v>
      </c>
      <c r="L25" s="73" t="n">
        <v>381566.09</v>
      </c>
      <c r="M25" s="73" t="n">
        <v>381566.09</v>
      </c>
      <c r="N25" s="73" t="n">
        <v>297469.32</v>
      </c>
      <c r="O25" s="73" t="n">
        <v>0</v>
      </c>
      <c r="P25" s="73" t="n">
        <v>84096.77000000002</v>
      </c>
      <c r="Q25" s="74" t="n">
        <v>-13070.07000000001</v>
      </c>
      <c r="R25" s="78" t="n">
        <v>-0.03546868701594119</v>
      </c>
      <c r="S25" s="71" t="inlineStr">
        <is>
          <t>FV1</t>
        </is>
      </c>
      <c r="T25" s="69" t="inlineStr">
        <is>
          <t>On Track</t>
        </is>
      </c>
      <c r="U25" s="72" t="n">
        <v>45922</v>
      </c>
      <c r="V25" s="70" t="inlineStr">
        <is>
          <t>Lucas Dupont</t>
        </is>
      </c>
    </row>
    <row r="26" ht="18" customHeight="1">
      <c r="A26" s="62" t="inlineStr">
        <is>
          <t>EVT-2025-025</t>
        </is>
      </c>
      <c r="B26" s="63" t="inlineStr">
        <is>
          <t>Imunexal Advisory Board Athens Jul 2025</t>
        </is>
      </c>
      <c r="C26" s="64" t="inlineStr">
        <is>
          <t>CC-7043</t>
        </is>
      </c>
      <c r="D26" s="64" t="inlineStr">
        <is>
          <t>GL-6311</t>
        </is>
      </c>
      <c r="E26" s="64" t="inlineStr">
        <is>
          <t>Immunology</t>
        </is>
      </c>
      <c r="F26" s="64" t="inlineStr">
        <is>
          <t>BU Immunology</t>
        </is>
      </c>
      <c r="G26" s="64" t="inlineStr">
        <is>
          <t>Advisory Board</t>
        </is>
      </c>
      <c r="H26" s="65" t="n">
        <v>45839</v>
      </c>
      <c r="I26" s="66" t="n">
        <v>41273.03</v>
      </c>
      <c r="J26" s="66" t="n">
        <v>41054.79</v>
      </c>
      <c r="K26" s="66" t="n">
        <v>39471.67</v>
      </c>
      <c r="L26" s="66" t="n">
        <v>42402.57</v>
      </c>
      <c r="M26" s="66" t="n">
        <v>42402.57</v>
      </c>
      <c r="N26" s="66" t="n">
        <v>30074.67</v>
      </c>
      <c r="O26" s="66" t="n">
        <v>23364.2</v>
      </c>
      <c r="P26" s="66" t="n">
        <v>12327.9</v>
      </c>
      <c r="Q26" s="77" t="n">
        <v>-1347.779999999999</v>
      </c>
      <c r="R26" s="68" t="n">
        <v>-0.03282881242359293</v>
      </c>
      <c r="S26" s="64" t="inlineStr">
        <is>
          <t>FV3</t>
        </is>
      </c>
      <c r="T26" s="69" t="inlineStr">
        <is>
          <t>On Track</t>
        </is>
      </c>
      <c r="U26" s="65" t="n">
        <v>45798</v>
      </c>
      <c r="V26" s="63" t="inlineStr">
        <is>
          <t>David O'Brien</t>
        </is>
      </c>
    </row>
    <row r="27" ht="18" customHeight="1">
      <c r="A27" s="62" t="inlineStr">
        <is>
          <t>EVT-2025-026</t>
        </is>
      </c>
      <c r="B27" s="70" t="inlineStr">
        <is>
          <t>Cordavex Investigator Meeting Stockholm Feb 2025</t>
        </is>
      </c>
      <c r="C27" s="71" t="inlineStr">
        <is>
          <t>CC-3683</t>
        </is>
      </c>
      <c r="D27" s="71" t="inlineStr">
        <is>
          <t>GL-6312</t>
        </is>
      </c>
      <c r="E27" s="71" t="inlineStr">
        <is>
          <t>Cardiology</t>
        </is>
      </c>
      <c r="F27" s="71" t="inlineStr">
        <is>
          <t>BU Cardiovascular</t>
        </is>
      </c>
      <c r="G27" s="71" t="inlineStr">
        <is>
          <t>Investigator Meeting</t>
        </is>
      </c>
      <c r="H27" s="72" t="n">
        <v>45713</v>
      </c>
      <c r="I27" s="73" t="n">
        <v>232577.57</v>
      </c>
      <c r="J27" s="73" t="n">
        <v>237503.22</v>
      </c>
      <c r="K27" s="73" t="n">
        <v>248517.07</v>
      </c>
      <c r="L27" s="73" t="n">
        <v>260699.2</v>
      </c>
      <c r="M27" s="73" t="n">
        <v>260699.2</v>
      </c>
      <c r="N27" s="73" t="n">
        <v>221595.98</v>
      </c>
      <c r="O27" s="73" t="n">
        <v>0</v>
      </c>
      <c r="P27" s="73" t="n">
        <v>39103.22</v>
      </c>
      <c r="Q27" s="74" t="n">
        <v>-23195.98000000001</v>
      </c>
      <c r="R27" s="75" t="n">
        <v>-0.09766596006572041</v>
      </c>
      <c r="S27" s="71" t="inlineStr">
        <is>
          <t>FV1</t>
        </is>
      </c>
      <c r="T27" s="76" t="inlineStr">
        <is>
          <t>At Risk</t>
        </is>
      </c>
      <c r="U27" s="72" t="n">
        <v>45610</v>
      </c>
      <c r="V27" s="70" t="inlineStr">
        <is>
          <t>Marco Bianchi</t>
        </is>
      </c>
    </row>
    <row r="28" ht="18" customHeight="1">
      <c r="A28" s="62" t="inlineStr">
        <is>
          <t>EVT-2025-027</t>
        </is>
      </c>
      <c r="B28" s="63" t="inlineStr">
        <is>
          <t>Hemaflex Internal Meeting Warsaw May 2025</t>
        </is>
      </c>
      <c r="C28" s="64" t="inlineStr">
        <is>
          <t>CC-7498</t>
        </is>
      </c>
      <c r="D28" s="64" t="inlineStr">
        <is>
          <t>GL-6325</t>
        </is>
      </c>
      <c r="E28" s="64" t="inlineStr">
        <is>
          <t>Hematology</t>
        </is>
      </c>
      <c r="F28" s="64" t="inlineStr">
        <is>
          <t>BU Oncology</t>
        </is>
      </c>
      <c r="G28" s="64" t="inlineStr">
        <is>
          <t>Internal Meeting</t>
        </is>
      </c>
      <c r="H28" s="65" t="n">
        <v>45785</v>
      </c>
      <c r="I28" s="66" t="n">
        <v>62485.73</v>
      </c>
      <c r="J28" s="66" t="n">
        <v>57588.08</v>
      </c>
      <c r="K28" s="66" t="n">
        <v>54856.55</v>
      </c>
      <c r="L28" s="66" t="n">
        <v>55093.27</v>
      </c>
      <c r="M28" s="66" t="n">
        <v>55093.27</v>
      </c>
      <c r="N28" s="66" t="n">
        <v>44339.41</v>
      </c>
      <c r="O28" s="66" t="n">
        <v>43783.03</v>
      </c>
      <c r="P28" s="66" t="n">
        <v>10753.85999999999</v>
      </c>
      <c r="Q28" s="67" t="n">
        <v>2494.810000000005</v>
      </c>
      <c r="R28" s="68" t="n">
        <v>0.04332163878358169</v>
      </c>
      <c r="S28" s="64" t="inlineStr">
        <is>
          <t>FV3</t>
        </is>
      </c>
      <c r="T28" s="69" t="inlineStr">
        <is>
          <t>On Track</t>
        </is>
      </c>
      <c r="U28" s="65" t="n">
        <v>45692</v>
      </c>
      <c r="V28" s="63" t="inlineStr">
        <is>
          <t>Maria Kowalski</t>
        </is>
      </c>
    </row>
    <row r="29" ht="18" customHeight="1">
      <c r="A29" s="62" t="inlineStr">
        <is>
          <t>EVT-2025-028</t>
        </is>
      </c>
      <c r="B29" s="70" t="inlineStr">
        <is>
          <t>Nexolimab KOL Meeting Milan Jul 2025</t>
        </is>
      </c>
      <c r="C29" s="71" t="inlineStr">
        <is>
          <t>CC-5941</t>
        </is>
      </c>
      <c r="D29" s="71" t="inlineStr">
        <is>
          <t>GL-6330</t>
        </is>
      </c>
      <c r="E29" s="71" t="inlineStr">
        <is>
          <t>Oncology</t>
        </is>
      </c>
      <c r="F29" s="71" t="inlineStr">
        <is>
          <t>BU Oncology</t>
        </is>
      </c>
      <c r="G29" s="71" t="inlineStr">
        <is>
          <t>KOL Meeting</t>
        </is>
      </c>
      <c r="H29" s="72" t="n">
        <v>45866</v>
      </c>
      <c r="I29" s="73" t="n">
        <v>452684.79</v>
      </c>
      <c r="J29" s="73" t="n">
        <v>425372.49</v>
      </c>
      <c r="K29" s="73" t="n">
        <v>429290.08</v>
      </c>
      <c r="L29" s="73" t="n">
        <v>455632.56</v>
      </c>
      <c r="M29" s="73" t="n">
        <v>455632.56</v>
      </c>
      <c r="N29" s="73" t="n">
        <v>277608.82</v>
      </c>
      <c r="O29" s="73" t="n">
        <v>252390.25</v>
      </c>
      <c r="P29" s="73" t="n">
        <v>178023.74</v>
      </c>
      <c r="Q29" s="74" t="n">
        <v>-30260.07000000001</v>
      </c>
      <c r="R29" s="75" t="n">
        <v>-0.07113781617612368</v>
      </c>
      <c r="S29" s="71" t="inlineStr">
        <is>
          <t>FV1</t>
        </is>
      </c>
      <c r="T29" s="76" t="inlineStr">
        <is>
          <t>At Risk</t>
        </is>
      </c>
      <c r="U29" s="72" t="n">
        <v>45825</v>
      </c>
      <c r="V29" s="70" t="inlineStr">
        <is>
          <t>David O'Brien</t>
        </is>
      </c>
    </row>
    <row r="30" ht="18" customHeight="1">
      <c r="A30" s="62" t="inlineStr">
        <is>
          <t>EVT-2025-029</t>
        </is>
      </c>
      <c r="B30" s="63" t="inlineStr">
        <is>
          <t>Axotrin Congress Lisbon May 2025</t>
        </is>
      </c>
      <c r="C30" s="64" t="inlineStr">
        <is>
          <t>CC-9728</t>
        </is>
      </c>
      <c r="D30" s="64" t="inlineStr">
        <is>
          <t>GL-6315</t>
        </is>
      </c>
      <c r="E30" s="64" t="inlineStr">
        <is>
          <t>Neurology</t>
        </is>
      </c>
      <c r="F30" s="64" t="inlineStr">
        <is>
          <t>BU Neuroscience</t>
        </is>
      </c>
      <c r="G30" s="64" t="inlineStr">
        <is>
          <t>Congress</t>
        </is>
      </c>
      <c r="H30" s="65" t="n">
        <v>45793</v>
      </c>
      <c r="I30" s="66" t="n">
        <v>479299.06</v>
      </c>
      <c r="J30" s="66" t="n">
        <v>496962.1</v>
      </c>
      <c r="K30" s="66" t="n">
        <v>512145.68</v>
      </c>
      <c r="L30" s="66" t="n">
        <v>541637.59</v>
      </c>
      <c r="M30" s="66" t="n">
        <v>541637.59</v>
      </c>
      <c r="N30" s="66" t="n">
        <v>408757.45</v>
      </c>
      <c r="O30" s="66" t="n">
        <v>291166.41</v>
      </c>
      <c r="P30" s="66" t="n">
        <v>132880.14</v>
      </c>
      <c r="Q30" s="77" t="n">
        <v>-44675.48999999999</v>
      </c>
      <c r="R30" s="79" t="n">
        <v>-0.08989717726965496</v>
      </c>
      <c r="S30" s="64" t="inlineStr">
        <is>
          <t>FV3</t>
        </is>
      </c>
      <c r="T30" s="76" t="inlineStr">
        <is>
          <t>At Risk</t>
        </is>
      </c>
      <c r="U30" s="65" t="n">
        <v>45754</v>
      </c>
      <c r="V30" s="63" t="inlineStr">
        <is>
          <t>Ana García</t>
        </is>
      </c>
    </row>
    <row r="31" ht="18" customHeight="1">
      <c r="A31" s="62" t="inlineStr">
        <is>
          <t>EVT-2025-030</t>
        </is>
      </c>
      <c r="B31" s="70" t="inlineStr">
        <is>
          <t>Gastroven KOL Meeting Copenhagen Apr 2025</t>
        </is>
      </c>
      <c r="C31" s="71" t="inlineStr">
        <is>
          <t>CC-9031</t>
        </is>
      </c>
      <c r="D31" s="71" t="inlineStr">
        <is>
          <t>GL-6310</t>
        </is>
      </c>
      <c r="E31" s="71" t="inlineStr">
        <is>
          <t>Gastroenterology</t>
        </is>
      </c>
      <c r="F31" s="71" t="inlineStr">
        <is>
          <t>BU Cardiovascular</t>
        </is>
      </c>
      <c r="G31" s="71" t="inlineStr">
        <is>
          <t>KOL Meeting</t>
        </is>
      </c>
      <c r="H31" s="72" t="n">
        <v>45769</v>
      </c>
      <c r="I31" s="73" t="n">
        <v>44564.42</v>
      </c>
      <c r="J31" s="73" t="n">
        <v>46004.04</v>
      </c>
      <c r="K31" s="73" t="n">
        <v>44021.07</v>
      </c>
      <c r="L31" s="73" t="n">
        <v>45836.05</v>
      </c>
      <c r="M31" s="73" t="n">
        <v>45836.05</v>
      </c>
      <c r="N31" s="73" t="n">
        <v>23178.99</v>
      </c>
      <c r="O31" s="73" t="n">
        <v>19146.25</v>
      </c>
      <c r="P31" s="73" t="n">
        <v>22657.06</v>
      </c>
      <c r="Q31" s="80" t="n">
        <v>167.989999999998</v>
      </c>
      <c r="R31" s="78" t="n">
        <v>0.003651635812854653</v>
      </c>
      <c r="S31" s="71" t="inlineStr">
        <is>
          <t>FV3</t>
        </is>
      </c>
      <c r="T31" s="69" t="inlineStr">
        <is>
          <t>On Track</t>
        </is>
      </c>
      <c r="U31" s="72" t="n">
        <v>45727</v>
      </c>
      <c r="V31" s="70" t="inlineStr">
        <is>
          <t>Sophie Müller</t>
        </is>
      </c>
    </row>
    <row r="32" ht="18" customHeight="1">
      <c r="A32" s="62" t="inlineStr">
        <is>
          <t>EVT-2025-031</t>
        </is>
      </c>
      <c r="B32" s="63" t="inlineStr">
        <is>
          <t>Antivex Congress Dublin Sep 2025</t>
        </is>
      </c>
      <c r="C32" s="64" t="inlineStr">
        <is>
          <t>CC-3885</t>
        </is>
      </c>
      <c r="D32" s="64" t="inlineStr">
        <is>
          <t>GL-6325</t>
        </is>
      </c>
      <c r="E32" s="64" t="inlineStr">
        <is>
          <t>Infectious Diseases</t>
        </is>
      </c>
      <c r="F32" s="64" t="inlineStr">
        <is>
          <t>BU Infectious Diseases</t>
        </is>
      </c>
      <c r="G32" s="64" t="inlineStr">
        <is>
          <t>Congress</t>
        </is>
      </c>
      <c r="H32" s="65" t="n">
        <v>45902</v>
      </c>
      <c r="I32" s="66" t="n">
        <v>91354.87</v>
      </c>
      <c r="J32" s="66" t="n">
        <v>90140.28</v>
      </c>
      <c r="K32" s="66" t="n">
        <v>88898.03999999999</v>
      </c>
      <c r="L32" s="66" t="n">
        <v>94949.62</v>
      </c>
      <c r="M32" s="66" t="n">
        <v>94949.62</v>
      </c>
      <c r="N32" s="66" t="n">
        <v>67118.24000000001</v>
      </c>
      <c r="O32" s="66" t="n">
        <v>50063.32</v>
      </c>
      <c r="P32" s="66" t="n">
        <v>27831.37999999999</v>
      </c>
      <c r="Q32" s="77" t="n">
        <v>-4809.339999999997</v>
      </c>
      <c r="R32" s="79" t="n">
        <v>-0.05335395008757458</v>
      </c>
      <c r="S32" s="64" t="inlineStr">
        <is>
          <t>FV2</t>
        </is>
      </c>
      <c r="T32" s="76" t="inlineStr">
        <is>
          <t>At Risk</t>
        </is>
      </c>
      <c r="U32" s="65" t="n">
        <v>45790</v>
      </c>
      <c r="V32" s="63" t="inlineStr">
        <is>
          <t>Thomas Dubois</t>
        </is>
      </c>
    </row>
    <row r="33" ht="18" customHeight="1">
      <c r="A33" s="62" t="inlineStr">
        <is>
          <t>EVT-2025-032</t>
        </is>
      </c>
      <c r="B33" s="70" t="inlineStr">
        <is>
          <t>Cordavex Advisory Board Helsinki Feb 2025</t>
        </is>
      </c>
      <c r="C33" s="71" t="inlineStr">
        <is>
          <t>CC-8616</t>
        </is>
      </c>
      <c r="D33" s="71" t="inlineStr">
        <is>
          <t>GL-6315</t>
        </is>
      </c>
      <c r="E33" s="71" t="inlineStr">
        <is>
          <t>Cardiology</t>
        </is>
      </c>
      <c r="F33" s="71" t="inlineStr">
        <is>
          <t>BU Cardiovascular</t>
        </is>
      </c>
      <c r="G33" s="71" t="inlineStr">
        <is>
          <t>Advisory Board</t>
        </is>
      </c>
      <c r="H33" s="72" t="n">
        <v>45692</v>
      </c>
      <c r="I33" s="73" t="n">
        <v>134414.44</v>
      </c>
      <c r="J33" s="73" t="n">
        <v>134999.06</v>
      </c>
      <c r="K33" s="73" t="n">
        <v>137030.22</v>
      </c>
      <c r="L33" s="73" t="n">
        <v>142203.16</v>
      </c>
      <c r="M33" s="73" t="n">
        <v>142203.16</v>
      </c>
      <c r="N33" s="73" t="n">
        <v>129949.22</v>
      </c>
      <c r="O33" s="73" t="n">
        <v>121163.67</v>
      </c>
      <c r="P33" s="73" t="n">
        <v>12253.94</v>
      </c>
      <c r="Q33" s="74" t="n">
        <v>-7204.100000000006</v>
      </c>
      <c r="R33" s="75" t="n">
        <v>-0.05336407527578345</v>
      </c>
      <c r="S33" s="71" t="inlineStr">
        <is>
          <t>FV1</t>
        </is>
      </c>
      <c r="T33" s="76" t="inlineStr">
        <is>
          <t>At Risk</t>
        </is>
      </c>
      <c r="U33" s="72" t="n">
        <v>45604</v>
      </c>
      <c r="V33" s="70" t="inlineStr">
        <is>
          <t>Sophie Müller</t>
        </is>
      </c>
    </row>
    <row r="34" ht="18" customHeight="1">
      <c r="A34" s="62" t="inlineStr">
        <is>
          <t>EVT-2025-033</t>
        </is>
      </c>
      <c r="B34" s="63" t="inlineStr">
        <is>
          <t>Caprexosin Advisory Board Athens Dec 2025</t>
        </is>
      </c>
      <c r="C34" s="64" t="inlineStr">
        <is>
          <t>CC-5569</t>
        </is>
      </c>
      <c r="D34" s="64" t="inlineStr">
        <is>
          <t>GL-6315</t>
        </is>
      </c>
      <c r="E34" s="64" t="inlineStr">
        <is>
          <t>Oncology</t>
        </is>
      </c>
      <c r="F34" s="64" t="inlineStr">
        <is>
          <t>BU Oncology</t>
        </is>
      </c>
      <c r="G34" s="64" t="inlineStr">
        <is>
          <t>Advisory Board</t>
        </is>
      </c>
      <c r="H34" s="65" t="n">
        <v>45994</v>
      </c>
      <c r="I34" s="66" t="n">
        <v>339817.1</v>
      </c>
      <c r="J34" s="66" t="n">
        <v>361955.14</v>
      </c>
      <c r="K34" s="66" t="n">
        <v>365302.31</v>
      </c>
      <c r="L34" s="66" t="n">
        <v>367294.49</v>
      </c>
      <c r="M34" s="66" t="n">
        <v>367294.49</v>
      </c>
      <c r="N34" s="66" t="n">
        <v>224223.31</v>
      </c>
      <c r="O34" s="66" t="n">
        <v>219825.52</v>
      </c>
      <c r="P34" s="66" t="n">
        <v>143071.18</v>
      </c>
      <c r="Q34" s="77" t="n">
        <v>-5339.349999999977</v>
      </c>
      <c r="R34" s="68" t="n">
        <v>-0.01475141366966077</v>
      </c>
      <c r="S34" s="64" t="inlineStr">
        <is>
          <t>FV2</t>
        </is>
      </c>
      <c r="T34" s="69" t="inlineStr">
        <is>
          <t>On Track</t>
        </is>
      </c>
      <c r="U34" s="65" t="n">
        <v>45931</v>
      </c>
      <c r="V34" s="63" t="inlineStr">
        <is>
          <t>Ana García</t>
        </is>
      </c>
    </row>
    <row r="35" ht="18" customHeight="1">
      <c r="A35" s="62" t="inlineStr">
        <is>
          <t>EVT-2025-034</t>
        </is>
      </c>
      <c r="B35" s="70" t="inlineStr">
        <is>
          <t>Antivex Internal Meeting Lisbon Mar 2025</t>
        </is>
      </c>
      <c r="C35" s="71" t="inlineStr">
        <is>
          <t>CC-6325</t>
        </is>
      </c>
      <c r="D35" s="71" t="inlineStr">
        <is>
          <t>GL-6311</t>
        </is>
      </c>
      <c r="E35" s="71" t="inlineStr">
        <is>
          <t>Infectious Diseases</t>
        </is>
      </c>
      <c r="F35" s="71" t="inlineStr">
        <is>
          <t>BU Infectious Diseases</t>
        </is>
      </c>
      <c r="G35" s="71" t="inlineStr">
        <is>
          <t>Internal Meeting</t>
        </is>
      </c>
      <c r="H35" s="72" t="n">
        <v>45725</v>
      </c>
      <c r="I35" s="73" t="n">
        <v>19518</v>
      </c>
      <c r="J35" s="73" t="n">
        <v>18518.15</v>
      </c>
      <c r="K35" s="73" t="n">
        <v>18452.8</v>
      </c>
      <c r="L35" s="73" t="n">
        <v>19138.07</v>
      </c>
      <c r="M35" s="73" t="n">
        <v>19138.07</v>
      </c>
      <c r="N35" s="73" t="n">
        <v>12832.94</v>
      </c>
      <c r="O35" s="73" t="n">
        <v>9093.549999999999</v>
      </c>
      <c r="P35" s="73" t="n">
        <v>6305.129999999999</v>
      </c>
      <c r="Q35" s="74" t="n">
        <v>-619.9199999999983</v>
      </c>
      <c r="R35" s="78" t="n">
        <v>-0.03347634617928887</v>
      </c>
      <c r="S35" s="71" t="inlineStr">
        <is>
          <t>FV2</t>
        </is>
      </c>
      <c r="T35" s="69" t="inlineStr">
        <is>
          <t>On Track</t>
        </is>
      </c>
      <c r="U35" s="72" t="n">
        <v>45689</v>
      </c>
      <c r="V35" s="70" t="inlineStr">
        <is>
          <t>Emma Johansson</t>
        </is>
      </c>
    </row>
    <row r="36" ht="18" customHeight="1">
      <c r="A36" s="62" t="inlineStr">
        <is>
          <t>EVT-2025-035</t>
        </is>
      </c>
      <c r="B36" s="63" t="inlineStr">
        <is>
          <t>Cordavex Webinar Amsterdam Sep 2025</t>
        </is>
      </c>
      <c r="C36" s="64" t="inlineStr">
        <is>
          <t>CC-5526</t>
        </is>
      </c>
      <c r="D36" s="64" t="inlineStr">
        <is>
          <t>GL-6320</t>
        </is>
      </c>
      <c r="E36" s="64" t="inlineStr">
        <is>
          <t>Cardiology</t>
        </is>
      </c>
      <c r="F36" s="64" t="inlineStr">
        <is>
          <t>BU Cardiovascular</t>
        </is>
      </c>
      <c r="G36" s="64" t="inlineStr">
        <is>
          <t>Webinar</t>
        </is>
      </c>
      <c r="H36" s="65" t="n">
        <v>45917</v>
      </c>
      <c r="I36" s="66" t="n">
        <v>442219.12</v>
      </c>
      <c r="J36" s="66" t="n">
        <v>441117.99</v>
      </c>
      <c r="K36" s="66" t="n">
        <v>434714.06</v>
      </c>
      <c r="L36" s="66" t="n">
        <v>434026.67</v>
      </c>
      <c r="M36" s="66" t="n">
        <v>434026.67</v>
      </c>
      <c r="N36" s="66" t="n">
        <v>271633.99</v>
      </c>
      <c r="O36" s="66" t="n">
        <v>0</v>
      </c>
      <c r="P36" s="66" t="n">
        <v>162392.68</v>
      </c>
      <c r="Q36" s="67" t="n">
        <v>7091.320000000007</v>
      </c>
      <c r="R36" s="68" t="n">
        <v>0.0160757896090341</v>
      </c>
      <c r="S36" s="64" t="inlineStr">
        <is>
          <t>FV1</t>
        </is>
      </c>
      <c r="T36" s="69" t="inlineStr">
        <is>
          <t>On Track</t>
        </is>
      </c>
      <c r="U36" s="65" t="n">
        <v>45865</v>
      </c>
      <c r="V36" s="63" t="inlineStr">
        <is>
          <t>Marco Bianchi</t>
        </is>
      </c>
    </row>
    <row r="37" ht="18" customHeight="1">
      <c r="A37" s="62" t="inlineStr">
        <is>
          <t>EVT-2025-036</t>
        </is>
      </c>
      <c r="B37" s="70" t="inlineStr">
        <is>
          <t>Bioflair Internal Meeting Milan Aug 2025</t>
        </is>
      </c>
      <c r="C37" s="71" t="inlineStr">
        <is>
          <t>CC-4937</t>
        </is>
      </c>
      <c r="D37" s="71" t="inlineStr">
        <is>
          <t>GL-6325</t>
        </is>
      </c>
      <c r="E37" s="71" t="inlineStr">
        <is>
          <t>Immunology</t>
        </is>
      </c>
      <c r="F37" s="71" t="inlineStr">
        <is>
          <t>BU Immunology</t>
        </is>
      </c>
      <c r="G37" s="71" t="inlineStr">
        <is>
          <t>Internal Meeting</t>
        </is>
      </c>
      <c r="H37" s="72" t="n">
        <v>45882</v>
      </c>
      <c r="I37" s="73" t="n">
        <v>271536.24</v>
      </c>
      <c r="J37" s="73" t="n">
        <v>244933.9</v>
      </c>
      <c r="K37" s="73" t="n">
        <v>255908.47</v>
      </c>
      <c r="L37" s="73" t="n">
        <v>250641.21</v>
      </c>
      <c r="M37" s="73" t="n">
        <v>250641.21</v>
      </c>
      <c r="N37" s="73" t="n">
        <v>206536.78</v>
      </c>
      <c r="O37" s="73" t="n">
        <v>174848.53</v>
      </c>
      <c r="P37" s="73" t="n">
        <v>44104.42999999999</v>
      </c>
      <c r="Q37" s="74" t="n">
        <v>-5707.309999999998</v>
      </c>
      <c r="R37" s="78" t="n">
        <v>-0.02330142948771076</v>
      </c>
      <c r="S37" s="71" t="inlineStr">
        <is>
          <t>FV1</t>
        </is>
      </c>
      <c r="T37" s="69" t="inlineStr">
        <is>
          <t>On Track</t>
        </is>
      </c>
      <c r="U37" s="72" t="n">
        <v>45815</v>
      </c>
      <c r="V37" s="70" t="inlineStr">
        <is>
          <t>Lena Schneider</t>
        </is>
      </c>
    </row>
    <row r="38" ht="18" customHeight="1">
      <c r="A38" s="62" t="inlineStr">
        <is>
          <t>EVT-2025-037</t>
        </is>
      </c>
      <c r="B38" s="63" t="inlineStr">
        <is>
          <t>Orphavex Advisory Board Berlin May 2025</t>
        </is>
      </c>
      <c r="C38" s="64" t="inlineStr">
        <is>
          <t>CC-5820</t>
        </is>
      </c>
      <c r="D38" s="64" t="inlineStr">
        <is>
          <t>GL-6311</t>
        </is>
      </c>
      <c r="E38" s="64" t="inlineStr">
        <is>
          <t>Rare Diseases</t>
        </is>
      </c>
      <c r="F38" s="64" t="inlineStr">
        <is>
          <t>BU Rare Diseases</t>
        </is>
      </c>
      <c r="G38" s="64" t="inlineStr">
        <is>
          <t>Advisory Board</t>
        </is>
      </c>
      <c r="H38" s="65" t="n">
        <v>45793</v>
      </c>
      <c r="I38" s="66" t="n">
        <v>283313.47</v>
      </c>
      <c r="J38" s="66" t="n">
        <v>281958.84</v>
      </c>
      <c r="K38" s="66" t="n">
        <v>287931.92</v>
      </c>
      <c r="L38" s="66" t="n">
        <v>293488.78</v>
      </c>
      <c r="M38" s="66" t="n">
        <v>293488.78</v>
      </c>
      <c r="N38" s="66" t="n">
        <v>149021.71</v>
      </c>
      <c r="O38" s="66" t="n">
        <v>0</v>
      </c>
      <c r="P38" s="66" t="n">
        <v>144467.07</v>
      </c>
      <c r="Q38" s="77" t="n">
        <v>-11529.94</v>
      </c>
      <c r="R38" s="68" t="n">
        <v>-0.04089228058960663</v>
      </c>
      <c r="S38" s="64" t="inlineStr">
        <is>
          <t>FV2</t>
        </is>
      </c>
      <c r="T38" s="69" t="inlineStr">
        <is>
          <t>On Track</t>
        </is>
      </c>
      <c r="U38" s="65" t="n">
        <v>45677</v>
      </c>
      <c r="V38" s="63" t="inlineStr">
        <is>
          <t>David O'Brien</t>
        </is>
      </c>
    </row>
    <row r="39" ht="18" customHeight="1">
      <c r="A39" s="62" t="inlineStr">
        <is>
          <t>EVT-2025-038</t>
        </is>
      </c>
      <c r="B39" s="70" t="inlineStr">
        <is>
          <t>Genetrix Satellite Symposium Amsterdam Jun 2025</t>
        </is>
      </c>
      <c r="C39" s="71" t="inlineStr">
        <is>
          <t>CC-6632</t>
        </is>
      </c>
      <c r="D39" s="71" t="inlineStr">
        <is>
          <t>GL-6315</t>
        </is>
      </c>
      <c r="E39" s="71" t="inlineStr">
        <is>
          <t>Rare Diseases</t>
        </is>
      </c>
      <c r="F39" s="71" t="inlineStr">
        <is>
          <t>BU Rare Diseases</t>
        </is>
      </c>
      <c r="G39" s="71" t="inlineStr">
        <is>
          <t>Satellite Symposium</t>
        </is>
      </c>
      <c r="H39" s="72" t="n">
        <v>45833</v>
      </c>
      <c r="I39" s="73" t="n">
        <v>260123.39</v>
      </c>
      <c r="J39" s="73" t="n">
        <v>255149.89</v>
      </c>
      <c r="K39" s="73" t="n">
        <v>248600.32</v>
      </c>
      <c r="L39" s="73" t="n">
        <v>259298.98</v>
      </c>
      <c r="M39" s="73" t="n">
        <v>259298.98</v>
      </c>
      <c r="N39" s="73" t="n">
        <v>172708.47</v>
      </c>
      <c r="O39" s="73" t="n">
        <v>149572.77</v>
      </c>
      <c r="P39" s="73" t="n">
        <v>86590.51000000001</v>
      </c>
      <c r="Q39" s="74" t="n">
        <v>-4149.089999999997</v>
      </c>
      <c r="R39" s="78" t="n">
        <v>-0.01626138267196586</v>
      </c>
      <c r="S39" s="71" t="inlineStr">
        <is>
          <t>FV2</t>
        </is>
      </c>
      <c r="T39" s="69" t="inlineStr">
        <is>
          <t>On Track</t>
        </is>
      </c>
      <c r="U39" s="72" t="n">
        <v>45749</v>
      </c>
      <c r="V39" s="70" t="inlineStr">
        <is>
          <t>Isabel Ferreira</t>
        </is>
      </c>
    </row>
    <row r="40" ht="18" customHeight="1">
      <c r="A40" s="62" t="inlineStr">
        <is>
          <t>EVT-2025-039</t>
        </is>
      </c>
      <c r="B40" s="63" t="inlineStr">
        <is>
          <t>Rarzolene Advisory Board Athens May 2025</t>
        </is>
      </c>
      <c r="C40" s="64" t="inlineStr">
        <is>
          <t>CC-6023</t>
        </is>
      </c>
      <c r="D40" s="64" t="inlineStr">
        <is>
          <t>GL-6312</t>
        </is>
      </c>
      <c r="E40" s="64" t="inlineStr">
        <is>
          <t>Rare Diseases</t>
        </is>
      </c>
      <c r="F40" s="64" t="inlineStr">
        <is>
          <t>BU Rare Diseases</t>
        </is>
      </c>
      <c r="G40" s="64" t="inlineStr">
        <is>
          <t>Advisory Board</t>
        </is>
      </c>
      <c r="H40" s="65" t="n">
        <v>45799</v>
      </c>
      <c r="I40" s="66" t="n">
        <v>323999.99</v>
      </c>
      <c r="J40" s="66" t="n">
        <v>356181.71</v>
      </c>
      <c r="K40" s="66" t="n">
        <v>357976.46</v>
      </c>
      <c r="L40" s="66" t="n">
        <v>361090.55</v>
      </c>
      <c r="M40" s="66" t="n">
        <v>361090.55</v>
      </c>
      <c r="N40" s="66" t="n">
        <v>254274.68</v>
      </c>
      <c r="O40" s="66" t="n">
        <v>0</v>
      </c>
      <c r="P40" s="66" t="n">
        <v>106815.87</v>
      </c>
      <c r="Q40" s="77" t="n">
        <v>-4908.839999999967</v>
      </c>
      <c r="R40" s="68" t="n">
        <v>-0.01378184185819077</v>
      </c>
      <c r="S40" s="64" t="inlineStr">
        <is>
          <t>FV3</t>
        </is>
      </c>
      <c r="T40" s="69" t="inlineStr">
        <is>
          <t>On Track</t>
        </is>
      </c>
      <c r="U40" s="65" t="n">
        <v>45755</v>
      </c>
      <c r="V40" s="63" t="inlineStr">
        <is>
          <t>Carlos Navarro</t>
        </is>
      </c>
    </row>
    <row r="41" ht="18" customHeight="1">
      <c r="A41" s="62" t="inlineStr">
        <is>
          <t>EVT-2025-040</t>
        </is>
      </c>
      <c r="B41" s="70" t="inlineStr">
        <is>
          <t>Rarzolene Symposium Istanbul Dec 2025</t>
        </is>
      </c>
      <c r="C41" s="71" t="inlineStr">
        <is>
          <t>CC-4033</t>
        </is>
      </c>
      <c r="D41" s="71" t="inlineStr">
        <is>
          <t>GL-6311</t>
        </is>
      </c>
      <c r="E41" s="71" t="inlineStr">
        <is>
          <t>Rare Diseases</t>
        </is>
      </c>
      <c r="F41" s="71" t="inlineStr">
        <is>
          <t>BU Rare Diseases</t>
        </is>
      </c>
      <c r="G41" s="71" t="inlineStr">
        <is>
          <t>Symposium</t>
        </is>
      </c>
      <c r="H41" s="72" t="n">
        <v>46019</v>
      </c>
      <c r="I41" s="73" t="n">
        <v>51493.27</v>
      </c>
      <c r="J41" s="73" t="n">
        <v>48718.17</v>
      </c>
      <c r="K41" s="73" t="n">
        <v>49796.23</v>
      </c>
      <c r="L41" s="73" t="n">
        <v>50030.78</v>
      </c>
      <c r="M41" s="73" t="n">
        <v>50030.78</v>
      </c>
      <c r="N41" s="73" t="n">
        <v>41740.5</v>
      </c>
      <c r="O41" s="73" t="n">
        <v>41125.38</v>
      </c>
      <c r="P41" s="73" t="n">
        <v>8290.279999999999</v>
      </c>
      <c r="Q41" s="74" t="n">
        <v>-1312.610000000001</v>
      </c>
      <c r="R41" s="78" t="n">
        <v>-0.02694292499081966</v>
      </c>
      <c r="S41" s="71" t="inlineStr">
        <is>
          <t>FV1</t>
        </is>
      </c>
      <c r="T41" s="69" t="inlineStr">
        <is>
          <t>On Track</t>
        </is>
      </c>
      <c r="U41" s="72" t="n">
        <v>45984</v>
      </c>
      <c r="V41" s="70" t="inlineStr">
        <is>
          <t>David O'Brien</t>
        </is>
      </c>
    </row>
    <row r="42" ht="18" customHeight="1">
      <c r="A42" s="62" t="inlineStr">
        <is>
          <t>EVT-2025-041</t>
        </is>
      </c>
      <c r="B42" s="63" t="inlineStr">
        <is>
          <t>Cognivex Congress Brussels Oct 2025</t>
        </is>
      </c>
      <c r="C42" s="64" t="inlineStr">
        <is>
          <t>CC-9595</t>
        </is>
      </c>
      <c r="D42" s="64" t="inlineStr">
        <is>
          <t>GL-6320</t>
        </is>
      </c>
      <c r="E42" s="64" t="inlineStr">
        <is>
          <t>Neurology</t>
        </is>
      </c>
      <c r="F42" s="64" t="inlineStr">
        <is>
          <t>BU Neuroscience</t>
        </is>
      </c>
      <c r="G42" s="64" t="inlineStr">
        <is>
          <t>Congress</t>
        </is>
      </c>
      <c r="H42" s="65" t="n">
        <v>45956</v>
      </c>
      <c r="I42" s="66" t="n">
        <v>35287</v>
      </c>
      <c r="J42" s="66" t="n">
        <v>33285.41</v>
      </c>
      <c r="K42" s="66" t="n">
        <v>33232.81</v>
      </c>
      <c r="L42" s="66" t="n">
        <v>34884.63</v>
      </c>
      <c r="M42" s="66" t="n">
        <v>34884.63</v>
      </c>
      <c r="N42" s="66" t="n">
        <v>32773.17</v>
      </c>
      <c r="O42" s="66" t="n">
        <v>0</v>
      </c>
      <c r="P42" s="66" t="n">
        <v>2111.459999999999</v>
      </c>
      <c r="Q42" s="77" t="n">
        <v>-1599.219999999994</v>
      </c>
      <c r="R42" s="68" t="n">
        <v>-0.04804567526733165</v>
      </c>
      <c r="S42" s="64" t="inlineStr">
        <is>
          <t>FV1</t>
        </is>
      </c>
      <c r="T42" s="69" t="inlineStr">
        <is>
          <t>On Track</t>
        </is>
      </c>
      <c r="U42" s="65" t="n">
        <v>45909</v>
      </c>
      <c r="V42" s="63" t="inlineStr">
        <is>
          <t>Carlos Navarro</t>
        </is>
      </c>
    </row>
    <row r="43" ht="18" customHeight="1">
      <c r="A43" s="62" t="inlineStr">
        <is>
          <t>EVT-2025-042</t>
        </is>
      </c>
      <c r="B43" s="70" t="inlineStr">
        <is>
          <t>Antivex Launch Event Amsterdam Dec 2025</t>
        </is>
      </c>
      <c r="C43" s="71" t="inlineStr">
        <is>
          <t>CC-1231</t>
        </is>
      </c>
      <c r="D43" s="71" t="inlineStr">
        <is>
          <t>GL-6325</t>
        </is>
      </c>
      <c r="E43" s="71" t="inlineStr">
        <is>
          <t>Infectious Diseases</t>
        </is>
      </c>
      <c r="F43" s="71" t="inlineStr">
        <is>
          <t>BU Infectious Diseases</t>
        </is>
      </c>
      <c r="G43" s="71" t="inlineStr">
        <is>
          <t>Launch Event</t>
        </is>
      </c>
      <c r="H43" s="72" t="n">
        <v>46007</v>
      </c>
      <c r="I43" s="73" t="n">
        <v>393356.38</v>
      </c>
      <c r="J43" s="73" t="n">
        <v>376284.61</v>
      </c>
      <c r="K43" s="73" t="n">
        <v>361253.02</v>
      </c>
      <c r="L43" s="73" t="n">
        <v>358129.24</v>
      </c>
      <c r="M43" s="73" t="n">
        <v>358129.24</v>
      </c>
      <c r="N43" s="73" t="n">
        <v>215725.39</v>
      </c>
      <c r="O43" s="73" t="n">
        <v>162620.8</v>
      </c>
      <c r="P43" s="73" t="n">
        <v>142403.85</v>
      </c>
      <c r="Q43" s="80" t="n">
        <v>18155.37</v>
      </c>
      <c r="R43" s="78" t="n">
        <v>0.0482490368128529</v>
      </c>
      <c r="S43" s="71" t="inlineStr">
        <is>
          <t>FV3</t>
        </is>
      </c>
      <c r="T43" s="69" t="inlineStr">
        <is>
          <t>On Track</t>
        </is>
      </c>
      <c r="U43" s="72" t="n">
        <v>45895</v>
      </c>
      <c r="V43" s="70" t="inlineStr">
        <is>
          <t>Carlos Navarro</t>
        </is>
      </c>
    </row>
    <row r="44" ht="18" customHeight="1">
      <c r="A44" s="62" t="inlineStr">
        <is>
          <t>EVT-2025-043</t>
        </is>
      </c>
      <c r="B44" s="63" t="inlineStr">
        <is>
          <t>Ferrozol Speaker Program Vienna Mar 2025</t>
        </is>
      </c>
      <c r="C44" s="64" t="inlineStr">
        <is>
          <t>CC-3068</t>
        </is>
      </c>
      <c r="D44" s="64" t="inlineStr">
        <is>
          <t>GL-6325</t>
        </is>
      </c>
      <c r="E44" s="64" t="inlineStr">
        <is>
          <t>Hematology</t>
        </is>
      </c>
      <c r="F44" s="64" t="inlineStr">
        <is>
          <t>BU Oncology</t>
        </is>
      </c>
      <c r="G44" s="64" t="inlineStr">
        <is>
          <t>Speaker Program</t>
        </is>
      </c>
      <c r="H44" s="65" t="n">
        <v>45741</v>
      </c>
      <c r="I44" s="66" t="n">
        <v>101989.92</v>
      </c>
      <c r="J44" s="66" t="n">
        <v>102686.21</v>
      </c>
      <c r="K44" s="66" t="n">
        <v>100368.7</v>
      </c>
      <c r="L44" s="66" t="n">
        <v>108114.4</v>
      </c>
      <c r="M44" s="66" t="n">
        <v>108114.4</v>
      </c>
      <c r="N44" s="66" t="n">
        <v>80978.92999999999</v>
      </c>
      <c r="O44" s="66" t="n">
        <v>0</v>
      </c>
      <c r="P44" s="66" t="n">
        <v>27135.47</v>
      </c>
      <c r="Q44" s="77" t="n">
        <v>-5428.189999999988</v>
      </c>
      <c r="R44" s="79" t="n">
        <v>-0.05286191787582761</v>
      </c>
      <c r="S44" s="64" t="inlineStr">
        <is>
          <t>FV1</t>
        </is>
      </c>
      <c r="T44" s="76" t="inlineStr">
        <is>
          <t>At Risk</t>
        </is>
      </c>
      <c r="U44" s="65" t="n">
        <v>45669</v>
      </c>
      <c r="V44" s="63" t="inlineStr">
        <is>
          <t>Ana García</t>
        </is>
      </c>
    </row>
    <row r="45" ht="18" customHeight="1">
      <c r="A45" s="62" t="inlineStr">
        <is>
          <t>EVT-2025-044</t>
        </is>
      </c>
      <c r="B45" s="70" t="inlineStr">
        <is>
          <t>Vaccinade KOL Meeting Zurich Mar 2025</t>
        </is>
      </c>
      <c r="C45" s="71" t="inlineStr">
        <is>
          <t>CC-8216</t>
        </is>
      </c>
      <c r="D45" s="71" t="inlineStr">
        <is>
          <t>GL-6312</t>
        </is>
      </c>
      <c r="E45" s="71" t="inlineStr">
        <is>
          <t>Infectious Diseases</t>
        </is>
      </c>
      <c r="F45" s="71" t="inlineStr">
        <is>
          <t>BU Infectious Diseases</t>
        </is>
      </c>
      <c r="G45" s="71" t="inlineStr">
        <is>
          <t>KOL Meeting</t>
        </is>
      </c>
      <c r="H45" s="72" t="n">
        <v>45739</v>
      </c>
      <c r="I45" s="73" t="n">
        <v>431417.73</v>
      </c>
      <c r="J45" s="73" t="n">
        <v>463209.87</v>
      </c>
      <c r="K45" s="73" t="n">
        <v>462787.36</v>
      </c>
      <c r="L45" s="73" t="n">
        <v>493330.94</v>
      </c>
      <c r="M45" s="73" t="n">
        <v>493330.94</v>
      </c>
      <c r="N45" s="73" t="n">
        <v>374107.11</v>
      </c>
      <c r="O45" s="73" t="n">
        <v>314556.4</v>
      </c>
      <c r="P45" s="73" t="n">
        <v>119223.83</v>
      </c>
      <c r="Q45" s="74" t="n">
        <v>-30121.07000000001</v>
      </c>
      <c r="R45" s="75" t="n">
        <v>-0.0650268311424366</v>
      </c>
      <c r="S45" s="71" t="inlineStr">
        <is>
          <t>FV2</t>
        </is>
      </c>
      <c r="T45" s="76" t="inlineStr">
        <is>
          <t>At Risk</t>
        </is>
      </c>
      <c r="U45" s="72" t="n">
        <v>45653</v>
      </c>
      <c r="V45" s="70" t="inlineStr">
        <is>
          <t>Marco Bianchi</t>
        </is>
      </c>
    </row>
    <row r="46" ht="18" customHeight="1">
      <c r="A46" s="62" t="inlineStr">
        <is>
          <t>EVT-2025-045</t>
        </is>
      </c>
      <c r="B46" s="63" t="inlineStr">
        <is>
          <t>Imunexal Symposium Brussels Jun 2025</t>
        </is>
      </c>
      <c r="C46" s="64" t="inlineStr">
        <is>
          <t>CC-2070</t>
        </is>
      </c>
      <c r="D46" s="64" t="inlineStr">
        <is>
          <t>GL-6315</t>
        </is>
      </c>
      <c r="E46" s="64" t="inlineStr">
        <is>
          <t>Immunology</t>
        </is>
      </c>
      <c r="F46" s="64" t="inlineStr">
        <is>
          <t>BU Immunology</t>
        </is>
      </c>
      <c r="G46" s="64" t="inlineStr">
        <is>
          <t>Symposium</t>
        </is>
      </c>
      <c r="H46" s="65" t="n">
        <v>45814</v>
      </c>
      <c r="I46" s="66" t="n">
        <v>108667.95</v>
      </c>
      <c r="J46" s="66" t="n">
        <v>101808.04</v>
      </c>
      <c r="K46" s="66" t="n">
        <v>97240.69</v>
      </c>
      <c r="L46" s="66" t="n">
        <v>104389.53</v>
      </c>
      <c r="M46" s="66" t="n">
        <v>104389.53</v>
      </c>
      <c r="N46" s="66" t="n">
        <v>74636.23</v>
      </c>
      <c r="O46" s="66" t="n">
        <v>0</v>
      </c>
      <c r="P46" s="66" t="n">
        <v>29753.3</v>
      </c>
      <c r="Q46" s="77" t="n">
        <v>-2581.490000000005</v>
      </c>
      <c r="R46" s="68" t="n">
        <v>-0.02535644532592913</v>
      </c>
      <c r="S46" s="64" t="inlineStr">
        <is>
          <t>FV3</t>
        </is>
      </c>
      <c r="T46" s="69" t="inlineStr">
        <is>
          <t>On Track</t>
        </is>
      </c>
      <c r="U46" s="65" t="n">
        <v>45750</v>
      </c>
      <c r="V46" s="63" t="inlineStr">
        <is>
          <t>Maria Kowalski</t>
        </is>
      </c>
    </row>
    <row r="47" ht="18" customHeight="1">
      <c r="A47" s="62" t="inlineStr">
        <is>
          <t>EVT-2025-046</t>
        </is>
      </c>
      <c r="B47" s="70" t="inlineStr">
        <is>
          <t>Vaccinade Advisory Board Zurich Jun 2025</t>
        </is>
      </c>
      <c r="C47" s="71" t="inlineStr">
        <is>
          <t>CC-5978</t>
        </is>
      </c>
      <c r="D47" s="71" t="inlineStr">
        <is>
          <t>GL-6310</t>
        </is>
      </c>
      <c r="E47" s="71" t="inlineStr">
        <is>
          <t>Infectious Diseases</t>
        </is>
      </c>
      <c r="F47" s="71" t="inlineStr">
        <is>
          <t>BU Infectious Diseases</t>
        </is>
      </c>
      <c r="G47" s="71" t="inlineStr">
        <is>
          <t>Advisory Board</t>
        </is>
      </c>
      <c r="H47" s="72" t="n">
        <v>45837</v>
      </c>
      <c r="I47" s="73" t="n">
        <v>175607.69</v>
      </c>
      <c r="J47" s="73" t="n">
        <v>175317.82</v>
      </c>
      <c r="K47" s="73" t="n">
        <v>176668.14</v>
      </c>
      <c r="L47" s="73" t="n">
        <v>184708.24</v>
      </c>
      <c r="M47" s="73" t="n">
        <v>184708.24</v>
      </c>
      <c r="N47" s="73" t="n">
        <v>104965.47</v>
      </c>
      <c r="O47" s="73" t="n">
        <v>99018.39999999999</v>
      </c>
      <c r="P47" s="73" t="n">
        <v>79742.76999999999</v>
      </c>
      <c r="Q47" s="74" t="n">
        <v>-9390.419999999984</v>
      </c>
      <c r="R47" s="75" t="n">
        <v>-0.0535622676576744</v>
      </c>
      <c r="S47" s="71" t="inlineStr">
        <is>
          <t>FV3</t>
        </is>
      </c>
      <c r="T47" s="76" t="inlineStr">
        <is>
          <t>At Risk</t>
        </is>
      </c>
      <c r="U47" s="72" t="n">
        <v>45796</v>
      </c>
      <c r="V47" s="70" t="inlineStr">
        <is>
          <t>Ana García</t>
        </is>
      </c>
    </row>
    <row r="48" ht="18" customHeight="1">
      <c r="A48" s="62" t="inlineStr">
        <is>
          <t>EVT-2025-047</t>
        </is>
      </c>
      <c r="B48" s="63" t="inlineStr">
        <is>
          <t>Nexolimab Internal Meeting Milan Oct 2025</t>
        </is>
      </c>
      <c r="C48" s="64" t="inlineStr">
        <is>
          <t>CC-4697</t>
        </is>
      </c>
      <c r="D48" s="64" t="inlineStr">
        <is>
          <t>GL-6330</t>
        </is>
      </c>
      <c r="E48" s="64" t="inlineStr">
        <is>
          <t>Oncology</t>
        </is>
      </c>
      <c r="F48" s="64" t="inlineStr">
        <is>
          <t>BU Oncology</t>
        </is>
      </c>
      <c r="G48" s="64" t="inlineStr">
        <is>
          <t>Internal Meeting</t>
        </is>
      </c>
      <c r="H48" s="65" t="n">
        <v>45955</v>
      </c>
      <c r="I48" s="66" t="n">
        <v>225763.42</v>
      </c>
      <c r="J48" s="66" t="n">
        <v>248065.15</v>
      </c>
      <c r="K48" s="66" t="n">
        <v>238600.26</v>
      </c>
      <c r="L48" s="66" t="n">
        <v>251505.86</v>
      </c>
      <c r="M48" s="66" t="n">
        <v>251505.86</v>
      </c>
      <c r="N48" s="66" t="n">
        <v>194374.53</v>
      </c>
      <c r="O48" s="66" t="n">
        <v>0</v>
      </c>
      <c r="P48" s="66" t="n">
        <v>57131.32999999999</v>
      </c>
      <c r="Q48" s="77" t="n">
        <v>-3440.709999999992</v>
      </c>
      <c r="R48" s="68" t="n">
        <v>-0.01387018692468487</v>
      </c>
      <c r="S48" s="64" t="inlineStr">
        <is>
          <t>FV2</t>
        </is>
      </c>
      <c r="T48" s="69" t="inlineStr">
        <is>
          <t>On Track</t>
        </is>
      </c>
      <c r="U48" s="65" t="n">
        <v>45882</v>
      </c>
      <c r="V48" s="63" t="inlineStr">
        <is>
          <t>Marco Bianchi</t>
        </is>
      </c>
    </row>
    <row r="49" ht="18" customHeight="1">
      <c r="A49" s="62" t="inlineStr">
        <is>
          <t>EVT-2025-048</t>
        </is>
      </c>
      <c r="B49" s="70" t="inlineStr">
        <is>
          <t>Vaccinade Satellite Symposium Budapest Mar 2025</t>
        </is>
      </c>
      <c r="C49" s="71" t="inlineStr">
        <is>
          <t>CC-8025</t>
        </is>
      </c>
      <c r="D49" s="71" t="inlineStr">
        <is>
          <t>GL-6312</t>
        </is>
      </c>
      <c r="E49" s="71" t="inlineStr">
        <is>
          <t>Infectious Diseases</t>
        </is>
      </c>
      <c r="F49" s="71" t="inlineStr">
        <is>
          <t>BU Infectious Diseases</t>
        </is>
      </c>
      <c r="G49" s="71" t="inlineStr">
        <is>
          <t>Satellite Symposium</t>
        </is>
      </c>
      <c r="H49" s="72" t="n">
        <v>45717</v>
      </c>
      <c r="I49" s="73" t="n">
        <v>138540.42</v>
      </c>
      <c r="J49" s="73" t="n">
        <v>139165.86</v>
      </c>
      <c r="K49" s="73" t="n">
        <v>138477.19</v>
      </c>
      <c r="L49" s="73" t="n">
        <v>141066.62</v>
      </c>
      <c r="M49" s="73" t="n">
        <v>141066.62</v>
      </c>
      <c r="N49" s="73" t="n">
        <v>125136.67</v>
      </c>
      <c r="O49" s="73" t="n">
        <v>0</v>
      </c>
      <c r="P49" s="73" t="n">
        <v>15929.95</v>
      </c>
      <c r="Q49" s="74" t="n">
        <v>-1900.760000000009</v>
      </c>
      <c r="R49" s="78" t="n">
        <v>-0.01365823485731349</v>
      </c>
      <c r="S49" s="71" t="inlineStr">
        <is>
          <t>FV1</t>
        </is>
      </c>
      <c r="T49" s="69" t="inlineStr">
        <is>
          <t>On Track</t>
        </is>
      </c>
      <c r="U49" s="72" t="n">
        <v>45673</v>
      </c>
      <c r="V49" s="70" t="inlineStr">
        <is>
          <t>Lucas Dupont</t>
        </is>
      </c>
    </row>
    <row r="50" ht="18" customHeight="1">
      <c r="A50" s="62" t="inlineStr">
        <is>
          <t>EVT-2025-049</t>
        </is>
      </c>
      <c r="B50" s="63" t="inlineStr">
        <is>
          <t>Hemaflex Webinar Istanbul Dec 2025</t>
        </is>
      </c>
      <c r="C50" s="64" t="inlineStr">
        <is>
          <t>CC-4457</t>
        </is>
      </c>
      <c r="D50" s="64" t="inlineStr">
        <is>
          <t>GL-6312</t>
        </is>
      </c>
      <c r="E50" s="64" t="inlineStr">
        <is>
          <t>Hematology</t>
        </is>
      </c>
      <c r="F50" s="64" t="inlineStr">
        <is>
          <t>BU Oncology</t>
        </is>
      </c>
      <c r="G50" s="64" t="inlineStr">
        <is>
          <t>Webinar</t>
        </is>
      </c>
      <c r="H50" s="65" t="n">
        <v>46009</v>
      </c>
      <c r="I50" s="66" t="n">
        <v>475204.13</v>
      </c>
      <c r="J50" s="66" t="n">
        <v>481726.73</v>
      </c>
      <c r="K50" s="66" t="n">
        <v>460541.85</v>
      </c>
      <c r="L50" s="66" t="n">
        <v>495364.32</v>
      </c>
      <c r="M50" s="66" t="n">
        <v>495364.32</v>
      </c>
      <c r="N50" s="66" t="n">
        <v>269802.71</v>
      </c>
      <c r="O50" s="66" t="n">
        <v>250598.46</v>
      </c>
      <c r="P50" s="66" t="n">
        <v>225561.61</v>
      </c>
      <c r="Q50" s="77" t="n">
        <v>-13637.59000000003</v>
      </c>
      <c r="R50" s="68" t="n">
        <v>-0.02830980543678784</v>
      </c>
      <c r="S50" s="64" t="inlineStr">
        <is>
          <t>FV2</t>
        </is>
      </c>
      <c r="T50" s="69" t="inlineStr">
        <is>
          <t>On Track</t>
        </is>
      </c>
      <c r="U50" s="65" t="n">
        <v>45928</v>
      </c>
      <c r="V50" s="63" t="inlineStr">
        <is>
          <t>Marco Bianchi</t>
        </is>
      </c>
    </row>
    <row r="51" ht="18" customHeight="1">
      <c r="A51" s="62" t="inlineStr">
        <is>
          <t>EVT-2025-050</t>
        </is>
      </c>
      <c r="B51" s="70" t="inlineStr">
        <is>
          <t>Infectoban Launch Event Paris Jun 2025</t>
        </is>
      </c>
      <c r="C51" s="71" t="inlineStr">
        <is>
          <t>CC-8381</t>
        </is>
      </c>
      <c r="D51" s="71" t="inlineStr">
        <is>
          <t>GL-6325</t>
        </is>
      </c>
      <c r="E51" s="71" t="inlineStr">
        <is>
          <t>Infectious Diseases</t>
        </is>
      </c>
      <c r="F51" s="71" t="inlineStr">
        <is>
          <t>BU Infectious Diseases</t>
        </is>
      </c>
      <c r="G51" s="71" t="inlineStr">
        <is>
          <t>Launch Event</t>
        </is>
      </c>
      <c r="H51" s="72" t="n">
        <v>45811</v>
      </c>
      <c r="I51" s="73" t="n">
        <v>210164.19</v>
      </c>
      <c r="J51" s="73" t="n">
        <v>216907.44</v>
      </c>
      <c r="K51" s="73" t="n">
        <v>209468.75</v>
      </c>
      <c r="L51" s="73" t="n">
        <v>207189.62</v>
      </c>
      <c r="M51" s="73" t="n">
        <v>207189.62</v>
      </c>
      <c r="N51" s="73" t="n">
        <v>110593.51</v>
      </c>
      <c r="O51" s="73" t="n">
        <v>77504.23</v>
      </c>
      <c r="P51" s="73" t="n">
        <v>96596.11</v>
      </c>
      <c r="Q51" s="80" t="n">
        <v>9717.820000000007</v>
      </c>
      <c r="R51" s="78" t="n">
        <v>0.04480169052753565</v>
      </c>
      <c r="S51" s="71" t="inlineStr">
        <is>
          <t>FV2</t>
        </is>
      </c>
      <c r="T51" s="69" t="inlineStr">
        <is>
          <t>On Track</t>
        </is>
      </c>
      <c r="U51" s="72" t="n">
        <v>45747</v>
      </c>
      <c r="V51" s="70" t="inlineStr">
        <is>
          <t>James Wilson</t>
        </is>
      </c>
    </row>
    <row r="53" ht="24" customHeight="1">
      <c r="A53" s="81" t="inlineStr">
        <is>
          <t>TOTALS</t>
        </is>
      </c>
      <c r="I53" s="82">
        <f>SUM(I2:I51)</f>
        <v/>
      </c>
      <c r="J53" s="82">
        <f>SUM(J2:J51)</f>
        <v/>
      </c>
      <c r="K53" s="82">
        <f>SUM(K2:K51)</f>
        <v/>
      </c>
      <c r="L53" s="82">
        <f>SUM(L2:L51)</f>
        <v/>
      </c>
      <c r="M53" s="82">
        <f>SUM(M2:M51)</f>
        <v/>
      </c>
      <c r="N53" s="82">
        <f>SUM(N2:N51)</f>
        <v/>
      </c>
      <c r="O53" s="82">
        <f>SUM(O2:O51)</f>
        <v/>
      </c>
      <c r="P53" s="82">
        <f>SUM(P2:P51)</f>
        <v/>
      </c>
      <c r="Q53" s="82">
        <f>SUM(Q2:Q51)</f>
        <v/>
      </c>
    </row>
  </sheetData>
  <mergeCells count="1">
    <mergeCell ref="A53:H5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Q14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28" customWidth="1" min="4" max="4"/>
    <col width="22" customWidth="1" min="5" max="5"/>
    <col width="18" customWidth="1" min="6" max="6"/>
    <col width="16" customWidth="1" min="7" max="7"/>
    <col width="16" customWidth="1" min="8" max="8"/>
    <col width="14" customWidth="1" min="9" max="9"/>
    <col width="10" customWidth="1" min="10" max="10"/>
    <col width="16" customWidth="1" min="11" max="11"/>
    <col width="13" customWidth="1" min="12" max="12"/>
    <col width="14" customWidth="1" min="13" max="13"/>
    <col width="18" customWidth="1" min="14" max="14"/>
    <col width="13" customWidth="1" min="15" max="15"/>
    <col width="25" customWidth="1" min="16" max="16"/>
    <col width="14" customWidth="1" min="17" max="17"/>
  </cols>
  <sheetData>
    <row r="1" ht="30" customHeight="1">
      <c r="A1" s="83" t="inlineStr">
        <is>
          <t>Record ID</t>
        </is>
      </c>
      <c r="B1" s="83" t="inlineStr">
        <is>
          <t>Event ID</t>
        </is>
      </c>
      <c r="C1" s="83" t="inlineStr">
        <is>
          <t>Event Name</t>
        </is>
      </c>
      <c r="D1" s="83" t="inlineStr">
        <is>
          <t>Supplier Name</t>
        </is>
      </c>
      <c r="E1" s="83" t="inlineStr">
        <is>
          <t>Category</t>
        </is>
      </c>
      <c r="F1" s="83" t="inlineStr">
        <is>
          <t>Contract Status</t>
        </is>
      </c>
      <c r="G1" s="83" t="inlineStr">
        <is>
          <t>PO Number</t>
        </is>
      </c>
      <c r="H1" s="83" t="inlineStr">
        <is>
          <t>Invoice Number</t>
        </is>
      </c>
      <c r="I1" s="83" t="inlineStr">
        <is>
          <t>Amount (€)</t>
        </is>
      </c>
      <c r="J1" s="83" t="inlineStr">
        <is>
          <t>Currency</t>
        </is>
      </c>
      <c r="K1" s="83" t="inlineStr">
        <is>
          <t>Payment Status</t>
        </is>
      </c>
      <c r="L1" s="83" t="inlineStr">
        <is>
          <t>Due Date</t>
        </is>
      </c>
      <c r="M1" s="83" t="inlineStr">
        <is>
          <t>Risk Indicator</t>
        </is>
      </c>
      <c r="N1" s="83" t="inlineStr">
        <is>
          <t>Payment Terms (Days)</t>
        </is>
      </c>
      <c r="O1" s="83" t="inlineStr">
        <is>
          <t>Overdue Days</t>
        </is>
      </c>
      <c r="P1" s="83" t="inlineStr">
        <is>
          <t>Notes</t>
        </is>
      </c>
      <c r="Q1" s="83" t="inlineStr">
        <is>
          <t>Last Updated</t>
        </is>
      </c>
    </row>
    <row r="2" ht="18" customHeight="1">
      <c r="A2" s="84" t="inlineStr">
        <is>
          <t>SUP-0001</t>
        </is>
      </c>
      <c r="B2" s="85" t="inlineStr">
        <is>
          <t>EVT-2025-001</t>
        </is>
      </c>
      <c r="C2" s="86" t="inlineStr">
        <is>
          <t>Cordavex Internal Meeting Vienna Apr 2025</t>
        </is>
      </c>
      <c r="D2" s="86" t="inlineStr">
        <is>
          <t>Translingua Pro</t>
        </is>
      </c>
      <c r="E2" s="86" t="inlineStr">
        <is>
          <t>Translation &amp; Interpretation</t>
        </is>
      </c>
      <c r="F2" s="85" t="inlineStr">
        <is>
          <t>Contract Sent</t>
        </is>
      </c>
      <c r="G2" s="85" t="inlineStr">
        <is>
          <t>PO-2025-1001</t>
        </is>
      </c>
      <c r="H2" s="85" t="inlineStr">
        <is>
          <t>INV-01001</t>
        </is>
      </c>
      <c r="I2" s="87" t="n">
        <v>56833.03</v>
      </c>
      <c r="J2" s="85" t="inlineStr">
        <is>
          <t>EUR</t>
        </is>
      </c>
      <c r="K2" s="88" t="inlineStr">
        <is>
          <t>Approved</t>
        </is>
      </c>
      <c r="L2" s="89" t="n">
        <v>45751</v>
      </c>
      <c r="M2" s="69" t="inlineStr">
        <is>
          <t>Low</t>
        </is>
      </c>
      <c r="N2" s="85" t="n">
        <v>90</v>
      </c>
      <c r="O2" s="90" t="n">
        <v>0</v>
      </c>
      <c r="P2" s="86" t="inlineStr"/>
      <c r="Q2" s="89" t="n">
        <v>46175</v>
      </c>
    </row>
    <row r="3" ht="18" customHeight="1">
      <c r="A3" s="84" t="inlineStr">
        <is>
          <t>SUP-0002</t>
        </is>
      </c>
      <c r="B3" s="71" t="inlineStr">
        <is>
          <t>EVT-2025-001</t>
        </is>
      </c>
      <c r="C3" s="70" t="inlineStr">
        <is>
          <t>Cordavex Internal Meeting Vienna Apr 2025</t>
        </is>
      </c>
      <c r="D3" s="70" t="inlineStr">
        <is>
          <t>Catering Excellence</t>
        </is>
      </c>
      <c r="E3" s="70" t="inlineStr">
        <is>
          <t>F&amp;B / Catering</t>
        </is>
      </c>
      <c r="F3" s="71" t="inlineStr">
        <is>
          <t>Signed</t>
        </is>
      </c>
      <c r="G3" s="71" t="inlineStr">
        <is>
          <t>PO-2025-1002</t>
        </is>
      </c>
      <c r="H3" s="71" t="inlineStr">
        <is>
          <t>INV-01002</t>
        </is>
      </c>
      <c r="I3" s="73" t="n">
        <v>50754.52</v>
      </c>
      <c r="J3" s="71" t="inlineStr">
        <is>
          <t>EUR</t>
        </is>
      </c>
      <c r="K3" s="88" t="inlineStr">
        <is>
          <t>Approved</t>
        </is>
      </c>
      <c r="L3" s="72" t="n">
        <v>45744</v>
      </c>
      <c r="M3" s="76" t="inlineStr">
        <is>
          <t>Medium</t>
        </is>
      </c>
      <c r="N3" s="71" t="n">
        <v>90</v>
      </c>
      <c r="O3" s="91" t="n">
        <v>0</v>
      </c>
      <c r="P3" s="70" t="inlineStr"/>
      <c r="Q3" s="72" t="n">
        <v>46172</v>
      </c>
    </row>
    <row r="4" ht="18" customHeight="1">
      <c r="A4" s="84" t="inlineStr">
        <is>
          <t>SUP-0003</t>
        </is>
      </c>
      <c r="B4" s="85" t="inlineStr">
        <is>
          <t>EVT-2025-001</t>
        </is>
      </c>
      <c r="C4" s="86" t="inlineStr">
        <is>
          <t>Cordavex Internal Meeting Vienna Apr 2025</t>
        </is>
      </c>
      <c r="D4" s="86" t="inlineStr">
        <is>
          <t>AVIAWORLD Travel</t>
        </is>
      </c>
      <c r="E4" s="86" t="inlineStr">
        <is>
          <t>Travel &amp; Air</t>
        </is>
      </c>
      <c r="F4" s="85" t="inlineStr">
        <is>
          <t>Negotiating</t>
        </is>
      </c>
      <c r="G4" s="85" t="inlineStr">
        <is>
          <t>PO-2025-1003</t>
        </is>
      </c>
      <c r="H4" s="85" t="inlineStr"/>
      <c r="I4" s="87" t="n">
        <v>19535.14</v>
      </c>
      <c r="J4" s="85" t="inlineStr">
        <is>
          <t>EUR</t>
        </is>
      </c>
      <c r="K4" s="92" t="inlineStr">
        <is>
          <t>Cancelled</t>
        </is>
      </c>
      <c r="L4" s="89" t="n">
        <v>45761</v>
      </c>
      <c r="M4" s="93" t="inlineStr">
        <is>
          <t>High</t>
        </is>
      </c>
      <c r="N4" s="85" t="n">
        <v>90</v>
      </c>
      <c r="O4" s="90" t="n">
        <v>0</v>
      </c>
      <c r="P4" s="86" t="inlineStr"/>
      <c r="Q4" s="89" t="n">
        <v>46177</v>
      </c>
    </row>
    <row r="5" ht="18" customHeight="1">
      <c r="A5" s="84" t="inlineStr">
        <is>
          <t>SUP-0004</t>
        </is>
      </c>
      <c r="B5" s="71" t="inlineStr">
        <is>
          <t>EVT-2025-001</t>
        </is>
      </c>
      <c r="C5" s="70" t="inlineStr">
        <is>
          <t>Cordavex Internal Meeting Vienna Apr 2025</t>
        </is>
      </c>
      <c r="D5" s="70" t="inlineStr">
        <is>
          <t>Prime Hospitality Group</t>
        </is>
      </c>
      <c r="E5" s="70" t="inlineStr">
        <is>
          <t>Hotel &amp; Venue</t>
        </is>
      </c>
      <c r="F5" s="71" t="inlineStr">
        <is>
          <t>Active</t>
        </is>
      </c>
      <c r="G5" s="71" t="inlineStr">
        <is>
          <t>PO-2025-1004</t>
        </is>
      </c>
      <c r="H5" s="71" t="inlineStr"/>
      <c r="I5" s="73" t="n">
        <v>14941.98</v>
      </c>
      <c r="J5" s="71" t="inlineStr">
        <is>
          <t>EUR</t>
        </is>
      </c>
      <c r="K5" s="92" t="inlineStr">
        <is>
          <t>Cancelled</t>
        </is>
      </c>
      <c r="L5" s="72" t="n">
        <v>45756</v>
      </c>
      <c r="M5" s="69" t="inlineStr">
        <is>
          <t>Low</t>
        </is>
      </c>
      <c r="N5" s="71" t="n">
        <v>45</v>
      </c>
      <c r="O5" s="91" t="n">
        <v>0</v>
      </c>
      <c r="P5" s="70" t="inlineStr"/>
      <c r="Q5" s="72" t="n">
        <v>46194</v>
      </c>
    </row>
    <row r="6" ht="18" customHeight="1">
      <c r="A6" s="84" t="inlineStr">
        <is>
          <t>SUP-0005</t>
        </is>
      </c>
      <c r="B6" s="85" t="inlineStr">
        <is>
          <t>EVT-2025-001</t>
        </is>
      </c>
      <c r="C6" s="86" t="inlineStr">
        <is>
          <t>Cordavex Internal Meeting Vienna Apr 2025</t>
        </is>
      </c>
      <c r="D6" s="86" t="inlineStr">
        <is>
          <t>TechEvent Systems</t>
        </is>
      </c>
      <c r="E6" s="86" t="inlineStr">
        <is>
          <t>Registration &amp; Tech</t>
        </is>
      </c>
      <c r="F6" s="85" t="inlineStr">
        <is>
          <t>Signed</t>
        </is>
      </c>
      <c r="G6" s="85" t="inlineStr">
        <is>
          <t>PO-2025-1005</t>
        </is>
      </c>
      <c r="H6" s="85" t="inlineStr">
        <is>
          <t>INV-01005</t>
        </is>
      </c>
      <c r="I6" s="87" t="n">
        <v>36253.97</v>
      </c>
      <c r="J6" s="85" t="inlineStr">
        <is>
          <t>EUR</t>
        </is>
      </c>
      <c r="K6" s="76" t="inlineStr">
        <is>
          <t>Disputed</t>
        </is>
      </c>
      <c r="L6" s="89" t="n">
        <v>45751</v>
      </c>
      <c r="M6" s="76" t="inlineStr">
        <is>
          <t>Medium</t>
        </is>
      </c>
      <c r="N6" s="85" t="n">
        <v>45</v>
      </c>
      <c r="O6" s="90" t="n">
        <v>0</v>
      </c>
      <c r="P6" s="86" t="inlineStr"/>
      <c r="Q6" s="89" t="n">
        <v>46175</v>
      </c>
    </row>
    <row r="7" ht="18" customHeight="1">
      <c r="A7" s="84" t="inlineStr">
        <is>
          <t>SUP-0006</t>
        </is>
      </c>
      <c r="B7" s="71" t="inlineStr">
        <is>
          <t>EVT-2025-002</t>
        </is>
      </c>
      <c r="C7" s="70" t="inlineStr">
        <is>
          <t>Eplitazan Investigator Meeting Barcelona Jan 2025</t>
        </is>
      </c>
      <c r="D7" s="70" t="inlineStr">
        <is>
          <t>PrintMed Solutions</t>
        </is>
      </c>
      <c r="E7" s="70" t="inlineStr">
        <is>
          <t>Print &amp; Production</t>
        </is>
      </c>
      <c r="F7" s="71" t="inlineStr">
        <is>
          <t>Contract Sent</t>
        </is>
      </c>
      <c r="G7" s="71" t="inlineStr">
        <is>
          <t>PO-2025-1006</t>
        </is>
      </c>
      <c r="H7" s="71" t="inlineStr">
        <is>
          <t>INV-01006</t>
        </is>
      </c>
      <c r="I7" s="73" t="n">
        <v>48646.86</v>
      </c>
      <c r="J7" s="71" t="inlineStr">
        <is>
          <t>EUR</t>
        </is>
      </c>
      <c r="K7" s="93" t="inlineStr">
        <is>
          <t>Overdue</t>
        </is>
      </c>
      <c r="L7" s="72" t="n">
        <v>45653</v>
      </c>
      <c r="M7" s="76" t="inlineStr">
        <is>
          <t>Medium</t>
        </is>
      </c>
      <c r="N7" s="71" t="n">
        <v>30</v>
      </c>
      <c r="O7" s="94" t="n">
        <v>544</v>
      </c>
      <c r="P7" s="70" t="inlineStr"/>
      <c r="Q7" s="72" t="n">
        <v>46167</v>
      </c>
    </row>
    <row r="8" ht="18" customHeight="1">
      <c r="A8" s="84" t="inlineStr">
        <is>
          <t>SUP-0007</t>
        </is>
      </c>
      <c r="B8" s="85" t="inlineStr">
        <is>
          <t>EVT-2025-002</t>
        </is>
      </c>
      <c r="C8" s="86" t="inlineStr">
        <is>
          <t>Eplitazan Investigator Meeting Barcelona Jan 2025</t>
        </is>
      </c>
      <c r="D8" s="86" t="inlineStr">
        <is>
          <t>HealthMarketing Group</t>
        </is>
      </c>
      <c r="E8" s="86" t="inlineStr">
        <is>
          <t>Marketing Agency</t>
        </is>
      </c>
      <c r="F8" s="85" t="inlineStr">
        <is>
          <t>Active</t>
        </is>
      </c>
      <c r="G8" s="85" t="inlineStr">
        <is>
          <t>PO-2025-1007</t>
        </is>
      </c>
      <c r="H8" s="85" t="inlineStr"/>
      <c r="I8" s="87" t="n">
        <v>19856.1</v>
      </c>
      <c r="J8" s="85" t="inlineStr">
        <is>
          <t>EUR</t>
        </is>
      </c>
      <c r="K8" s="93" t="inlineStr">
        <is>
          <t>Overdue</t>
        </is>
      </c>
      <c r="L8" s="89" t="n">
        <v>45645</v>
      </c>
      <c r="M8" s="76" t="inlineStr">
        <is>
          <t>Medium</t>
        </is>
      </c>
      <c r="N8" s="85" t="n">
        <v>45</v>
      </c>
      <c r="O8" s="94" t="n">
        <v>552</v>
      </c>
      <c r="P8" s="86" t="inlineStr"/>
      <c r="Q8" s="89" t="n">
        <v>46194</v>
      </c>
    </row>
    <row r="9" ht="18" customHeight="1">
      <c r="A9" s="84" t="inlineStr">
        <is>
          <t>SUP-0008</t>
        </is>
      </c>
      <c r="B9" s="71" t="inlineStr">
        <is>
          <t>EVT-2025-002</t>
        </is>
      </c>
      <c r="C9" s="70" t="inlineStr">
        <is>
          <t>Eplitazan Investigator Meeting Barcelona Jan 2025</t>
        </is>
      </c>
      <c r="D9" s="70" t="inlineStr">
        <is>
          <t>Translingua Pro</t>
        </is>
      </c>
      <c r="E9" s="70" t="inlineStr">
        <is>
          <t>Translation &amp; Interpretation</t>
        </is>
      </c>
      <c r="F9" s="71" t="inlineStr">
        <is>
          <t>RFP Sent</t>
        </is>
      </c>
      <c r="G9" s="71" t="inlineStr">
        <is>
          <t>PO-2025-1008</t>
        </is>
      </c>
      <c r="H9" s="71" t="inlineStr">
        <is>
          <t>INV-01008</t>
        </is>
      </c>
      <c r="I9" s="73" t="n">
        <v>79966.64999999999</v>
      </c>
      <c r="J9" s="71" t="inlineStr">
        <is>
          <t>EUR</t>
        </is>
      </c>
      <c r="K9" s="93" t="inlineStr">
        <is>
          <t>Overdue</t>
        </is>
      </c>
      <c r="L9" s="72" t="n">
        <v>45645</v>
      </c>
      <c r="M9" s="76" t="inlineStr">
        <is>
          <t>Medium</t>
        </is>
      </c>
      <c r="N9" s="71" t="n">
        <v>90</v>
      </c>
      <c r="O9" s="94" t="n">
        <v>552</v>
      </c>
      <c r="P9" s="70" t="inlineStr"/>
      <c r="Q9" s="72" t="n">
        <v>46168</v>
      </c>
    </row>
    <row r="10" ht="18" customHeight="1">
      <c r="A10" s="84" t="inlineStr">
        <is>
          <t>SUP-0009</t>
        </is>
      </c>
      <c r="B10" s="85" t="inlineStr">
        <is>
          <t>EVT-2025-003</t>
        </is>
      </c>
      <c r="C10" s="86" t="inlineStr">
        <is>
          <t>Influximab Webinar Athens Apr 2025</t>
        </is>
      </c>
      <c r="D10" s="86" t="inlineStr">
        <is>
          <t>Translingua Pro</t>
        </is>
      </c>
      <c r="E10" s="86" t="inlineStr">
        <is>
          <t>Translation &amp; Interpretation</t>
        </is>
      </c>
      <c r="F10" s="85" t="inlineStr">
        <is>
          <t>Closed</t>
        </is>
      </c>
      <c r="G10" s="85" t="inlineStr">
        <is>
          <t>PO-2025-1009</t>
        </is>
      </c>
      <c r="H10" s="85" t="inlineStr">
        <is>
          <t>INV-01009</t>
        </is>
      </c>
      <c r="I10" s="87" t="n">
        <v>73453.67999999999</v>
      </c>
      <c r="J10" s="85" t="inlineStr">
        <is>
          <t>EUR</t>
        </is>
      </c>
      <c r="K10" s="69" t="inlineStr">
        <is>
          <t>Paid</t>
        </is>
      </c>
      <c r="L10" s="89" t="n">
        <v>45758</v>
      </c>
      <c r="M10" s="93" t="inlineStr">
        <is>
          <t>High</t>
        </is>
      </c>
      <c r="N10" s="85" t="n">
        <v>90</v>
      </c>
      <c r="O10" s="90" t="n">
        <v>0</v>
      </c>
      <c r="P10" s="86" t="inlineStr"/>
      <c r="Q10" s="89" t="n">
        <v>46172</v>
      </c>
    </row>
    <row r="11" ht="18" customHeight="1">
      <c r="A11" s="84" t="inlineStr">
        <is>
          <t>SUP-0010</t>
        </is>
      </c>
      <c r="B11" s="71" t="inlineStr">
        <is>
          <t>EVT-2025-003</t>
        </is>
      </c>
      <c r="C11" s="70" t="inlineStr">
        <is>
          <t>Influximab Webinar Athens Apr 2025</t>
        </is>
      </c>
      <c r="D11" s="70" t="inlineStr">
        <is>
          <t>PrintMed Solutions</t>
        </is>
      </c>
      <c r="E11" s="70" t="inlineStr">
        <is>
          <t>Print &amp; Production</t>
        </is>
      </c>
      <c r="F11" s="71" t="inlineStr">
        <is>
          <t>Contract Sent</t>
        </is>
      </c>
      <c r="G11" s="71" t="inlineStr">
        <is>
          <t>PO-2025-1010</t>
        </is>
      </c>
      <c r="H11" s="71" t="inlineStr">
        <is>
          <t>INV-01010</t>
        </is>
      </c>
      <c r="I11" s="73" t="n">
        <v>77586.31</v>
      </c>
      <c r="J11" s="71" t="inlineStr">
        <is>
          <t>EUR</t>
        </is>
      </c>
      <c r="K11" s="95" t="inlineStr">
        <is>
          <t>Invoiced</t>
        </is>
      </c>
      <c r="L11" s="72" t="n">
        <v>45748</v>
      </c>
      <c r="M11" s="69" t="inlineStr">
        <is>
          <t>Low</t>
        </is>
      </c>
      <c r="N11" s="71" t="n">
        <v>90</v>
      </c>
      <c r="O11" s="91" t="n">
        <v>0</v>
      </c>
      <c r="P11" s="70" t="inlineStr"/>
      <c r="Q11" s="72" t="n">
        <v>46192</v>
      </c>
    </row>
    <row r="12" ht="18" customHeight="1">
      <c r="A12" s="84" t="inlineStr">
        <is>
          <t>SUP-0011</t>
        </is>
      </c>
      <c r="B12" s="85" t="inlineStr">
        <is>
          <t>EVT-2025-004</t>
        </is>
      </c>
      <c r="C12" s="86" t="inlineStr">
        <is>
          <t>Cognivex Investigator Meeting Stockholm May 2025</t>
        </is>
      </c>
      <c r="D12" s="86" t="inlineStr">
        <is>
          <t>TechEvent Systems</t>
        </is>
      </c>
      <c r="E12" s="86" t="inlineStr">
        <is>
          <t>Registration &amp; Tech</t>
        </is>
      </c>
      <c r="F12" s="85" t="inlineStr">
        <is>
          <t>Terminated</t>
        </is>
      </c>
      <c r="G12" s="85" t="inlineStr">
        <is>
          <t>PO-2025-1011</t>
        </is>
      </c>
      <c r="H12" s="85" t="inlineStr"/>
      <c r="I12" s="87" t="n">
        <v>34108.32</v>
      </c>
      <c r="J12" s="85" t="inlineStr">
        <is>
          <t>EUR</t>
        </is>
      </c>
      <c r="K12" s="69" t="inlineStr">
        <is>
          <t>Paid</t>
        </is>
      </c>
      <c r="L12" s="89" t="n">
        <v>45778</v>
      </c>
      <c r="M12" s="69" t="inlineStr">
        <is>
          <t>Low</t>
        </is>
      </c>
      <c r="N12" s="85" t="n">
        <v>90</v>
      </c>
      <c r="O12" s="90" t="n">
        <v>0</v>
      </c>
      <c r="P12" s="86" t="inlineStr"/>
      <c r="Q12" s="89" t="n">
        <v>46173</v>
      </c>
    </row>
    <row r="13" ht="18" customHeight="1">
      <c r="A13" s="84" t="inlineStr">
        <is>
          <t>SUP-0012</t>
        </is>
      </c>
      <c r="B13" s="71" t="inlineStr">
        <is>
          <t>EVT-2025-005</t>
        </is>
      </c>
      <c r="C13" s="70" t="inlineStr">
        <is>
          <t>Hemaflex Launch Event Brussels Nov 2025</t>
        </is>
      </c>
      <c r="D13" s="70" t="inlineStr">
        <is>
          <t>AVIAWORLD Travel</t>
        </is>
      </c>
      <c r="E13" s="70" t="inlineStr">
        <is>
          <t>Travel &amp; Air</t>
        </is>
      </c>
      <c r="F13" s="71" t="inlineStr">
        <is>
          <t>RFP Sent</t>
        </is>
      </c>
      <c r="G13" s="71" t="inlineStr">
        <is>
          <t>PO-2025-1012</t>
        </is>
      </c>
      <c r="H13" s="71" t="inlineStr">
        <is>
          <t>INV-01012</t>
        </is>
      </c>
      <c r="I13" s="73" t="n">
        <v>77674.41</v>
      </c>
      <c r="J13" s="71" t="inlineStr">
        <is>
          <t>EUR</t>
        </is>
      </c>
      <c r="K13" s="92" t="inlineStr">
        <is>
          <t>Cancelled</t>
        </is>
      </c>
      <c r="L13" s="72" t="n">
        <v>45948</v>
      </c>
      <c r="M13" s="76" t="inlineStr">
        <is>
          <t>Medium</t>
        </is>
      </c>
      <c r="N13" s="71" t="n">
        <v>60</v>
      </c>
      <c r="O13" s="91" t="n">
        <v>0</v>
      </c>
      <c r="P13" s="70" t="inlineStr"/>
      <c r="Q13" s="72" t="n">
        <v>46178</v>
      </c>
    </row>
    <row r="14" ht="18" customHeight="1">
      <c r="A14" s="84" t="inlineStr">
        <is>
          <t>SUP-0013</t>
        </is>
      </c>
      <c r="B14" s="85" t="inlineStr">
        <is>
          <t>EVT-2025-005</t>
        </is>
      </c>
      <c r="C14" s="86" t="inlineStr">
        <is>
          <t>Hemaflex Launch Event Brussels Nov 2025</t>
        </is>
      </c>
      <c r="D14" s="86" t="inlineStr">
        <is>
          <t>Translingua Pro</t>
        </is>
      </c>
      <c r="E14" s="86" t="inlineStr">
        <is>
          <t>Translation &amp; Interpretation</t>
        </is>
      </c>
      <c r="F14" s="85" t="inlineStr">
        <is>
          <t>Contract Sent</t>
        </is>
      </c>
      <c r="G14" s="85" t="inlineStr">
        <is>
          <t>PO-2025-1013</t>
        </is>
      </c>
      <c r="H14" s="85" t="inlineStr">
        <is>
          <t>INV-01013</t>
        </is>
      </c>
      <c r="I14" s="87" t="n">
        <v>44322.3</v>
      </c>
      <c r="J14" s="85" t="inlineStr">
        <is>
          <t>EUR</t>
        </is>
      </c>
      <c r="K14" s="93" t="inlineStr">
        <is>
          <t>Overdue</t>
        </is>
      </c>
      <c r="L14" s="89" t="n">
        <v>45947</v>
      </c>
      <c r="M14" s="69" t="inlineStr">
        <is>
          <t>Low</t>
        </is>
      </c>
      <c r="N14" s="85" t="n">
        <v>30</v>
      </c>
      <c r="O14" s="94" t="n">
        <v>250</v>
      </c>
      <c r="P14" s="86" t="inlineStr"/>
      <c r="Q14" s="89" t="n">
        <v>46170</v>
      </c>
    </row>
    <row r="15" ht="18" customHeight="1">
      <c r="A15" s="84" t="inlineStr">
        <is>
          <t>SUP-0014</t>
        </is>
      </c>
      <c r="B15" s="71" t="inlineStr">
        <is>
          <t>EVT-2025-005</t>
        </is>
      </c>
      <c r="C15" s="70" t="inlineStr">
        <is>
          <t>Hemaflex Launch Event Brussels Nov 2025</t>
        </is>
      </c>
      <c r="D15" s="70" t="inlineStr">
        <is>
          <t>InterCongress PCO</t>
        </is>
      </c>
      <c r="E15" s="70" t="inlineStr">
        <is>
          <t>PCO / Event Agency</t>
        </is>
      </c>
      <c r="F15" s="71" t="inlineStr">
        <is>
          <t>Contract Sent</t>
        </is>
      </c>
      <c r="G15" s="71" t="inlineStr">
        <is>
          <t>PO-2025-1014</t>
        </is>
      </c>
      <c r="H15" s="71" t="inlineStr">
        <is>
          <t>INV-01014</t>
        </is>
      </c>
      <c r="I15" s="73" t="n">
        <v>40882.46</v>
      </c>
      <c r="J15" s="71" t="inlineStr">
        <is>
          <t>EUR</t>
        </is>
      </c>
      <c r="K15" s="88" t="inlineStr">
        <is>
          <t>Approved</t>
        </is>
      </c>
      <c r="L15" s="72" t="n">
        <v>45946</v>
      </c>
      <c r="M15" s="76" t="inlineStr">
        <is>
          <t>Medium</t>
        </is>
      </c>
      <c r="N15" s="71" t="n">
        <v>45</v>
      </c>
      <c r="O15" s="91" t="n">
        <v>0</v>
      </c>
      <c r="P15" s="70" t="inlineStr"/>
      <c r="Q15" s="72" t="n">
        <v>46182</v>
      </c>
    </row>
    <row r="16" ht="18" customHeight="1">
      <c r="A16" s="84" t="inlineStr">
        <is>
          <t>SUP-0015</t>
        </is>
      </c>
      <c r="B16" s="85" t="inlineStr">
        <is>
          <t>EVT-2025-005</t>
        </is>
      </c>
      <c r="C16" s="86" t="inlineStr">
        <is>
          <t>Hemaflex Launch Event Brussels Nov 2025</t>
        </is>
      </c>
      <c r="D16" s="86" t="inlineStr">
        <is>
          <t>PharmaLogix</t>
        </is>
      </c>
      <c r="E16" s="86" t="inlineStr">
        <is>
          <t>Logistics &amp; Transport</t>
        </is>
      </c>
      <c r="F16" s="85" t="inlineStr">
        <is>
          <t>RFP Sent</t>
        </is>
      </c>
      <c r="G16" s="85" t="inlineStr">
        <is>
          <t>PO-2025-1015</t>
        </is>
      </c>
      <c r="H16" s="85" t="inlineStr">
        <is>
          <t>INV-01015</t>
        </is>
      </c>
      <c r="I16" s="87" t="n">
        <v>74358.48</v>
      </c>
      <c r="J16" s="85" t="inlineStr">
        <is>
          <t>EUR</t>
        </is>
      </c>
      <c r="K16" s="69" t="inlineStr">
        <is>
          <t>Paid</t>
        </is>
      </c>
      <c r="L16" s="89" t="n">
        <v>45946</v>
      </c>
      <c r="M16" s="76" t="inlineStr">
        <is>
          <t>Medium</t>
        </is>
      </c>
      <c r="N16" s="85" t="n">
        <v>90</v>
      </c>
      <c r="O16" s="90" t="n">
        <v>0</v>
      </c>
      <c r="P16" s="86" t="inlineStr"/>
      <c r="Q16" s="89" t="n">
        <v>46194</v>
      </c>
    </row>
    <row r="17" ht="18" customHeight="1">
      <c r="A17" s="84" t="inlineStr">
        <is>
          <t>SUP-0016</t>
        </is>
      </c>
      <c r="B17" s="71" t="inlineStr">
        <is>
          <t>EVT-2025-005</t>
        </is>
      </c>
      <c r="C17" s="70" t="inlineStr">
        <is>
          <t>Hemaflex Launch Event Brussels Nov 2025</t>
        </is>
      </c>
      <c r="D17" s="70" t="inlineStr">
        <is>
          <t>Catering Excellence</t>
        </is>
      </c>
      <c r="E17" s="70" t="inlineStr">
        <is>
          <t>F&amp;B / Catering</t>
        </is>
      </c>
      <c r="F17" s="71" t="inlineStr">
        <is>
          <t>Active</t>
        </is>
      </c>
      <c r="G17" s="71" t="inlineStr">
        <is>
          <t>PO-2025-1016</t>
        </is>
      </c>
      <c r="H17" s="71" t="inlineStr"/>
      <c r="I17" s="73" t="n">
        <v>51141.74</v>
      </c>
      <c r="J17" s="71" t="inlineStr">
        <is>
          <t>EUR</t>
        </is>
      </c>
      <c r="K17" s="95" t="inlineStr">
        <is>
          <t>Invoiced</t>
        </is>
      </c>
      <c r="L17" s="72" t="n">
        <v>45953</v>
      </c>
      <c r="M17" s="76" t="inlineStr">
        <is>
          <t>Medium</t>
        </is>
      </c>
      <c r="N17" s="71" t="n">
        <v>90</v>
      </c>
      <c r="O17" s="91" t="n">
        <v>0</v>
      </c>
      <c r="P17" s="70" t="inlineStr"/>
      <c r="Q17" s="72" t="n">
        <v>46183</v>
      </c>
    </row>
    <row r="18" ht="18" customHeight="1">
      <c r="A18" s="84" t="inlineStr">
        <is>
          <t>SUP-0017</t>
        </is>
      </c>
      <c r="B18" s="85" t="inlineStr">
        <is>
          <t>EVT-2025-006</t>
        </is>
      </c>
      <c r="C18" s="86" t="inlineStr">
        <is>
          <t>Miotrex Advisory Board Istanbul May 2025</t>
        </is>
      </c>
      <c r="D18" s="86" t="inlineStr">
        <is>
          <t>PrintMed Solutions</t>
        </is>
      </c>
      <c r="E18" s="86" t="inlineStr">
        <is>
          <t>Print &amp; Production</t>
        </is>
      </c>
      <c r="F18" s="85" t="inlineStr">
        <is>
          <t>Closed</t>
        </is>
      </c>
      <c r="G18" s="85" t="inlineStr">
        <is>
          <t>PO-2025-1017</t>
        </is>
      </c>
      <c r="H18" s="85" t="inlineStr">
        <is>
          <t>INV-01017</t>
        </is>
      </c>
      <c r="I18" s="87" t="n">
        <v>19526.65</v>
      </c>
      <c r="J18" s="85" t="inlineStr">
        <is>
          <t>EUR</t>
        </is>
      </c>
      <c r="K18" s="96" t="inlineStr">
        <is>
          <t>Pending</t>
        </is>
      </c>
      <c r="L18" s="89" t="n">
        <v>45798</v>
      </c>
      <c r="M18" s="69" t="inlineStr">
        <is>
          <t>Low</t>
        </is>
      </c>
      <c r="N18" s="85" t="n">
        <v>30</v>
      </c>
      <c r="O18" s="90" t="n">
        <v>0</v>
      </c>
      <c r="P18" s="86" t="inlineStr"/>
      <c r="Q18" s="89" t="n">
        <v>46195</v>
      </c>
    </row>
    <row r="19" ht="18" customHeight="1">
      <c r="A19" s="84" t="inlineStr">
        <is>
          <t>SUP-0018</t>
        </is>
      </c>
      <c r="B19" s="71" t="inlineStr">
        <is>
          <t>EVT-2025-007</t>
        </is>
      </c>
      <c r="C19" s="70" t="inlineStr">
        <is>
          <t>Bioflair Advisory Board Vienna Feb 2025</t>
        </is>
      </c>
      <c r="D19" s="70" t="inlineStr">
        <is>
          <t>Translingua Pro</t>
        </is>
      </c>
      <c r="E19" s="70" t="inlineStr">
        <is>
          <t>Translation &amp; Interpretation</t>
        </is>
      </c>
      <c r="F19" s="71" t="inlineStr">
        <is>
          <t>Negotiating</t>
        </is>
      </c>
      <c r="G19" s="71" t="inlineStr">
        <is>
          <t>PO-2025-1018</t>
        </is>
      </c>
      <c r="H19" s="71" t="inlineStr"/>
      <c r="I19" s="73" t="n">
        <v>57022.11</v>
      </c>
      <c r="J19" s="71" t="inlineStr">
        <is>
          <t>EUR</t>
        </is>
      </c>
      <c r="K19" s="69" t="inlineStr">
        <is>
          <t>Paid</t>
        </is>
      </c>
      <c r="L19" s="72" t="n">
        <v>45689</v>
      </c>
      <c r="M19" s="76" t="inlineStr">
        <is>
          <t>Medium</t>
        </is>
      </c>
      <c r="N19" s="71" t="n">
        <v>60</v>
      </c>
      <c r="O19" s="91" t="n">
        <v>0</v>
      </c>
      <c r="P19" s="70" t="inlineStr"/>
      <c r="Q19" s="72" t="n">
        <v>46177</v>
      </c>
    </row>
    <row r="20" ht="18" customHeight="1">
      <c r="A20" s="84" t="inlineStr">
        <is>
          <t>SUP-0019</t>
        </is>
      </c>
      <c r="B20" s="85" t="inlineStr">
        <is>
          <t>EVT-2025-007</t>
        </is>
      </c>
      <c r="C20" s="86" t="inlineStr">
        <is>
          <t>Bioflair Advisory Board Vienna Feb 2025</t>
        </is>
      </c>
      <c r="D20" s="86" t="inlineStr">
        <is>
          <t>KOL Connect</t>
        </is>
      </c>
      <c r="E20" s="86" t="inlineStr">
        <is>
          <t>Speaker Management</t>
        </is>
      </c>
      <c r="F20" s="85" t="inlineStr">
        <is>
          <t>Closed</t>
        </is>
      </c>
      <c r="G20" s="85" t="inlineStr">
        <is>
          <t>PO-2025-1019</t>
        </is>
      </c>
      <c r="H20" s="85" t="inlineStr">
        <is>
          <t>INV-01019</t>
        </is>
      </c>
      <c r="I20" s="87" t="n">
        <v>13282.07</v>
      </c>
      <c r="J20" s="85" t="inlineStr">
        <is>
          <t>EUR</t>
        </is>
      </c>
      <c r="K20" s="93" t="inlineStr">
        <is>
          <t>Overdue</t>
        </is>
      </c>
      <c r="L20" s="89" t="n">
        <v>45696</v>
      </c>
      <c r="M20" s="93" t="inlineStr">
        <is>
          <t>High</t>
        </is>
      </c>
      <c r="N20" s="85" t="n">
        <v>60</v>
      </c>
      <c r="O20" s="94" t="n">
        <v>501</v>
      </c>
      <c r="P20" s="86" t="inlineStr"/>
      <c r="Q20" s="89" t="n">
        <v>46197</v>
      </c>
    </row>
    <row r="21" ht="18" customHeight="1">
      <c r="A21" s="84" t="inlineStr">
        <is>
          <t>SUP-0020</t>
        </is>
      </c>
      <c r="B21" s="71" t="inlineStr">
        <is>
          <t>EVT-2025-008</t>
        </is>
      </c>
      <c r="C21" s="70" t="inlineStr">
        <is>
          <t>Axotrin Launch Event Amsterdam Dec 2025</t>
        </is>
      </c>
      <c r="D21" s="70" t="inlineStr">
        <is>
          <t>TechEvent Systems</t>
        </is>
      </c>
      <c r="E21" s="70" t="inlineStr">
        <is>
          <t>Registration &amp; Tech</t>
        </is>
      </c>
      <c r="F21" s="71" t="inlineStr">
        <is>
          <t>Active</t>
        </is>
      </c>
      <c r="G21" s="71" t="inlineStr">
        <is>
          <t>PO-2025-1020</t>
        </is>
      </c>
      <c r="H21" s="71" t="inlineStr"/>
      <c r="I21" s="73" t="n">
        <v>63620.48</v>
      </c>
      <c r="J21" s="71" t="inlineStr">
        <is>
          <t>EUR</t>
        </is>
      </c>
      <c r="K21" s="92" t="inlineStr">
        <is>
          <t>Cancelled</t>
        </is>
      </c>
      <c r="L21" s="72" t="n">
        <v>45981</v>
      </c>
      <c r="M21" s="69" t="inlineStr">
        <is>
          <t>Low</t>
        </is>
      </c>
      <c r="N21" s="71" t="n">
        <v>45</v>
      </c>
      <c r="O21" s="91" t="n">
        <v>0</v>
      </c>
      <c r="P21" s="70" t="inlineStr"/>
      <c r="Q21" s="72" t="n">
        <v>46167</v>
      </c>
    </row>
    <row r="22" ht="18" customHeight="1">
      <c r="A22" s="84" t="inlineStr">
        <is>
          <t>SUP-0021</t>
        </is>
      </c>
      <c r="B22" s="85" t="inlineStr">
        <is>
          <t>EVT-2025-008</t>
        </is>
      </c>
      <c r="C22" s="86" t="inlineStr">
        <is>
          <t>Axotrin Launch Event Amsterdam Dec 2025</t>
        </is>
      </c>
      <c r="D22" s="86" t="inlineStr">
        <is>
          <t>InterCongress PCO</t>
        </is>
      </c>
      <c r="E22" s="86" t="inlineStr">
        <is>
          <t>PCO / Event Agency</t>
        </is>
      </c>
      <c r="F22" s="85" t="inlineStr">
        <is>
          <t>Active</t>
        </is>
      </c>
      <c r="G22" s="85" t="inlineStr">
        <is>
          <t>PO-2025-1021</t>
        </is>
      </c>
      <c r="H22" s="85" t="inlineStr"/>
      <c r="I22" s="87" t="n">
        <v>2200.09</v>
      </c>
      <c r="J22" s="85" t="inlineStr">
        <is>
          <t>EUR</t>
        </is>
      </c>
      <c r="K22" s="93" t="inlineStr">
        <is>
          <t>Overdue</t>
        </is>
      </c>
      <c r="L22" s="89" t="n">
        <v>45971</v>
      </c>
      <c r="M22" s="69" t="inlineStr">
        <is>
          <t>Low</t>
        </is>
      </c>
      <c r="N22" s="85" t="n">
        <v>60</v>
      </c>
      <c r="O22" s="94" t="n">
        <v>226</v>
      </c>
      <c r="P22" s="86" t="inlineStr"/>
      <c r="Q22" s="89" t="n">
        <v>46181</v>
      </c>
    </row>
    <row r="23" ht="18" customHeight="1">
      <c r="A23" s="84" t="inlineStr">
        <is>
          <t>SUP-0022</t>
        </is>
      </c>
      <c r="B23" s="71" t="inlineStr">
        <is>
          <t>EVT-2025-009</t>
        </is>
      </c>
      <c r="C23" s="70" t="inlineStr">
        <is>
          <t>Cognivex KOL Meeting Milan Aug 2025</t>
        </is>
      </c>
      <c r="D23" s="70" t="inlineStr">
        <is>
          <t>TechEvent Systems</t>
        </is>
      </c>
      <c r="E23" s="70" t="inlineStr">
        <is>
          <t>Registration &amp; Tech</t>
        </is>
      </c>
      <c r="F23" s="71" t="inlineStr">
        <is>
          <t>Terminated</t>
        </is>
      </c>
      <c r="G23" s="71" t="inlineStr">
        <is>
          <t>PO-2025-1022</t>
        </is>
      </c>
      <c r="H23" s="71" t="inlineStr">
        <is>
          <t>INV-01022</t>
        </is>
      </c>
      <c r="I23" s="73" t="n">
        <v>27930.32</v>
      </c>
      <c r="J23" s="71" t="inlineStr">
        <is>
          <t>EUR</t>
        </is>
      </c>
      <c r="K23" s="95" t="inlineStr">
        <is>
          <t>Invoiced</t>
        </is>
      </c>
      <c r="L23" s="72" t="n">
        <v>45870</v>
      </c>
      <c r="M23" s="69" t="inlineStr">
        <is>
          <t>Low</t>
        </is>
      </c>
      <c r="N23" s="71" t="n">
        <v>30</v>
      </c>
      <c r="O23" s="91" t="n">
        <v>0</v>
      </c>
      <c r="P23" s="70" t="inlineStr"/>
      <c r="Q23" s="72" t="n">
        <v>46184</v>
      </c>
    </row>
    <row r="24" ht="18" customHeight="1">
      <c r="A24" s="84" t="inlineStr">
        <is>
          <t>SUP-0023</t>
        </is>
      </c>
      <c r="B24" s="85" t="inlineStr">
        <is>
          <t>EVT-2025-009</t>
        </is>
      </c>
      <c r="C24" s="86" t="inlineStr">
        <is>
          <t>Cognivex KOL Meeting Milan Aug 2025</t>
        </is>
      </c>
      <c r="D24" s="86" t="inlineStr">
        <is>
          <t>MedAudio AV Solutions</t>
        </is>
      </c>
      <c r="E24" s="86" t="inlineStr">
        <is>
          <t>AV &amp; Technology</t>
        </is>
      </c>
      <c r="F24" s="85" t="inlineStr">
        <is>
          <t>Terminated</t>
        </is>
      </c>
      <c r="G24" s="85" t="inlineStr">
        <is>
          <t>PO-2025-1023</t>
        </is>
      </c>
      <c r="H24" s="85" t="inlineStr"/>
      <c r="I24" s="87" t="n">
        <v>56404.88</v>
      </c>
      <c r="J24" s="85" t="inlineStr">
        <is>
          <t>EUR</t>
        </is>
      </c>
      <c r="K24" s="92" t="inlineStr">
        <is>
          <t>Cancelled</t>
        </is>
      </c>
      <c r="L24" s="89" t="n">
        <v>45869</v>
      </c>
      <c r="M24" s="69" t="inlineStr">
        <is>
          <t>Low</t>
        </is>
      </c>
      <c r="N24" s="85" t="n">
        <v>45</v>
      </c>
      <c r="O24" s="90" t="n">
        <v>0</v>
      </c>
      <c r="P24" s="86" t="inlineStr"/>
      <c r="Q24" s="89" t="n">
        <v>46182</v>
      </c>
    </row>
    <row r="25" ht="18" customHeight="1">
      <c r="A25" s="84" t="inlineStr">
        <is>
          <t>SUP-0024</t>
        </is>
      </c>
      <c r="B25" s="71" t="inlineStr">
        <is>
          <t>EVT-2025-009</t>
        </is>
      </c>
      <c r="C25" s="70" t="inlineStr">
        <is>
          <t>Cognivex KOL Meeting Milan Aug 2025</t>
        </is>
      </c>
      <c r="D25" s="70" t="inlineStr">
        <is>
          <t>Translingua Pro</t>
        </is>
      </c>
      <c r="E25" s="70" t="inlineStr">
        <is>
          <t>Translation &amp; Interpretation</t>
        </is>
      </c>
      <c r="F25" s="71" t="inlineStr">
        <is>
          <t>Signed</t>
        </is>
      </c>
      <c r="G25" s="71" t="inlineStr">
        <is>
          <t>PO-2025-1024</t>
        </is>
      </c>
      <c r="H25" s="71" t="inlineStr">
        <is>
          <t>INV-01024</t>
        </is>
      </c>
      <c r="I25" s="73" t="n">
        <v>26817.75</v>
      </c>
      <c r="J25" s="71" t="inlineStr">
        <is>
          <t>EUR</t>
        </is>
      </c>
      <c r="K25" s="92" t="inlineStr">
        <is>
          <t>Cancelled</t>
        </is>
      </c>
      <c r="L25" s="72" t="n">
        <v>45872</v>
      </c>
      <c r="M25" s="76" t="inlineStr">
        <is>
          <t>Medium</t>
        </is>
      </c>
      <c r="N25" s="71" t="n">
        <v>60</v>
      </c>
      <c r="O25" s="91" t="n">
        <v>0</v>
      </c>
      <c r="P25" s="70" t="inlineStr"/>
      <c r="Q25" s="72" t="n">
        <v>46176</v>
      </c>
    </row>
    <row r="26" ht="18" customHeight="1">
      <c r="A26" s="84" t="inlineStr">
        <is>
          <t>SUP-0025</t>
        </is>
      </c>
      <c r="B26" s="85" t="inlineStr">
        <is>
          <t>EVT-2025-009</t>
        </is>
      </c>
      <c r="C26" s="86" t="inlineStr">
        <is>
          <t>Cognivex KOL Meeting Milan Aug 2025</t>
        </is>
      </c>
      <c r="D26" s="86" t="inlineStr">
        <is>
          <t>PrintMed Solutions</t>
        </is>
      </c>
      <c r="E26" s="86" t="inlineStr">
        <is>
          <t>Print &amp; Production</t>
        </is>
      </c>
      <c r="F26" s="85" t="inlineStr">
        <is>
          <t>RFP Sent</t>
        </is>
      </c>
      <c r="G26" s="85" t="inlineStr">
        <is>
          <t>PO-2025-1025</t>
        </is>
      </c>
      <c r="H26" s="85" t="inlineStr">
        <is>
          <t>INV-01025</t>
        </is>
      </c>
      <c r="I26" s="87" t="n">
        <v>53767.73</v>
      </c>
      <c r="J26" s="85" t="inlineStr">
        <is>
          <t>EUR</t>
        </is>
      </c>
      <c r="K26" s="69" t="inlineStr">
        <is>
          <t>Paid</t>
        </is>
      </c>
      <c r="L26" s="89" t="n">
        <v>45867</v>
      </c>
      <c r="M26" s="93" t="inlineStr">
        <is>
          <t>High</t>
        </is>
      </c>
      <c r="N26" s="85" t="n">
        <v>90</v>
      </c>
      <c r="O26" s="90" t="n">
        <v>0</v>
      </c>
      <c r="P26" s="86" t="inlineStr"/>
      <c r="Q26" s="89" t="n">
        <v>46193</v>
      </c>
    </row>
    <row r="27" ht="18" customHeight="1">
      <c r="A27" s="84" t="inlineStr">
        <is>
          <t>SUP-0026</t>
        </is>
      </c>
      <c r="B27" s="71" t="inlineStr">
        <is>
          <t>EVT-2025-010</t>
        </is>
      </c>
      <c r="C27" s="70" t="inlineStr">
        <is>
          <t>Influximab Launch Event Barcelona Apr 2025</t>
        </is>
      </c>
      <c r="D27" s="70" t="inlineStr">
        <is>
          <t>PrintMed Solutions</t>
        </is>
      </c>
      <c r="E27" s="70" t="inlineStr">
        <is>
          <t>Print &amp; Production</t>
        </is>
      </c>
      <c r="F27" s="71" t="inlineStr">
        <is>
          <t>RFP Sent</t>
        </is>
      </c>
      <c r="G27" s="71" t="inlineStr">
        <is>
          <t>PO-2025-1026</t>
        </is>
      </c>
      <c r="H27" s="71" t="inlineStr">
        <is>
          <t>INV-01026</t>
        </is>
      </c>
      <c r="I27" s="73" t="n">
        <v>9828.440000000001</v>
      </c>
      <c r="J27" s="71" t="inlineStr">
        <is>
          <t>EUR</t>
        </is>
      </c>
      <c r="K27" s="69" t="inlineStr">
        <is>
          <t>Paid</t>
        </is>
      </c>
      <c r="L27" s="72" t="n">
        <v>45754</v>
      </c>
      <c r="M27" s="69" t="inlineStr">
        <is>
          <t>Low</t>
        </is>
      </c>
      <c r="N27" s="71" t="n">
        <v>30</v>
      </c>
      <c r="O27" s="91" t="n">
        <v>0</v>
      </c>
      <c r="P27" s="70" t="inlineStr"/>
      <c r="Q27" s="72" t="n">
        <v>46197</v>
      </c>
    </row>
    <row r="28" ht="18" customHeight="1">
      <c r="A28" s="84" t="inlineStr">
        <is>
          <t>SUP-0027</t>
        </is>
      </c>
      <c r="B28" s="85" t="inlineStr">
        <is>
          <t>EVT-2025-010</t>
        </is>
      </c>
      <c r="C28" s="86" t="inlineStr">
        <is>
          <t>Influximab Launch Event Barcelona Apr 2025</t>
        </is>
      </c>
      <c r="D28" s="86" t="inlineStr">
        <is>
          <t>DigitalPharma Studio</t>
        </is>
      </c>
      <c r="E28" s="86" t="inlineStr">
        <is>
          <t>Digital &amp; Web</t>
        </is>
      </c>
      <c r="F28" s="85" t="inlineStr">
        <is>
          <t>Signed</t>
        </is>
      </c>
      <c r="G28" s="85" t="inlineStr">
        <is>
          <t>PO-2025-1027</t>
        </is>
      </c>
      <c r="H28" s="85" t="inlineStr">
        <is>
          <t>INV-01027</t>
        </is>
      </c>
      <c r="I28" s="87" t="n">
        <v>33978.33</v>
      </c>
      <c r="J28" s="85" t="inlineStr">
        <is>
          <t>EUR</t>
        </is>
      </c>
      <c r="K28" s="96" t="inlineStr">
        <is>
          <t>Pending</t>
        </is>
      </c>
      <c r="L28" s="89" t="n">
        <v>45748</v>
      </c>
      <c r="M28" s="93" t="inlineStr">
        <is>
          <t>High</t>
        </is>
      </c>
      <c r="N28" s="85" t="n">
        <v>45</v>
      </c>
      <c r="O28" s="90" t="n">
        <v>0</v>
      </c>
      <c r="P28" s="86" t="inlineStr"/>
      <c r="Q28" s="89" t="n">
        <v>46181</v>
      </c>
    </row>
    <row r="29" ht="18" customHeight="1">
      <c r="A29" s="84" t="inlineStr">
        <is>
          <t>SUP-0028</t>
        </is>
      </c>
      <c r="B29" s="71" t="inlineStr">
        <is>
          <t>EVT-2025-011</t>
        </is>
      </c>
      <c r="C29" s="70" t="inlineStr">
        <is>
          <t>Influximab Launch Event Amsterdam Dec 2025</t>
        </is>
      </c>
      <c r="D29" s="70" t="inlineStr">
        <is>
          <t>PharmaLogix</t>
        </is>
      </c>
      <c r="E29" s="70" t="inlineStr">
        <is>
          <t>Logistics &amp; Transport</t>
        </is>
      </c>
      <c r="F29" s="71" t="inlineStr">
        <is>
          <t>Active</t>
        </is>
      </c>
      <c r="G29" s="71" t="inlineStr">
        <is>
          <t>PO-2025-1028</t>
        </is>
      </c>
      <c r="H29" s="71" t="inlineStr">
        <is>
          <t>INV-01028</t>
        </is>
      </c>
      <c r="I29" s="73" t="n">
        <v>8264.6</v>
      </c>
      <c r="J29" s="71" t="inlineStr">
        <is>
          <t>EUR</t>
        </is>
      </c>
      <c r="K29" s="92" t="inlineStr">
        <is>
          <t>Cancelled</t>
        </is>
      </c>
      <c r="L29" s="72" t="n">
        <v>45976</v>
      </c>
      <c r="M29" s="76" t="inlineStr">
        <is>
          <t>Medium</t>
        </is>
      </c>
      <c r="N29" s="71" t="n">
        <v>90</v>
      </c>
      <c r="O29" s="91" t="n">
        <v>0</v>
      </c>
      <c r="P29" s="70" t="inlineStr"/>
      <c r="Q29" s="72" t="n">
        <v>46170</v>
      </c>
    </row>
    <row r="30" ht="18" customHeight="1">
      <c r="A30" s="84" t="inlineStr">
        <is>
          <t>SUP-0029</t>
        </is>
      </c>
      <c r="B30" s="85" t="inlineStr">
        <is>
          <t>EVT-2025-011</t>
        </is>
      </c>
      <c r="C30" s="86" t="inlineStr">
        <is>
          <t>Influximab Launch Event Amsterdam Dec 2025</t>
        </is>
      </c>
      <c r="D30" s="86" t="inlineStr">
        <is>
          <t>DigitalPharma Studio</t>
        </is>
      </c>
      <c r="E30" s="86" t="inlineStr">
        <is>
          <t>Digital &amp; Web</t>
        </is>
      </c>
      <c r="F30" s="85" t="inlineStr">
        <is>
          <t>Terminated</t>
        </is>
      </c>
      <c r="G30" s="85" t="inlineStr">
        <is>
          <t>PO-2025-1029</t>
        </is>
      </c>
      <c r="H30" s="85" t="inlineStr">
        <is>
          <t>INV-01029</t>
        </is>
      </c>
      <c r="I30" s="87" t="n">
        <v>26699.57</v>
      </c>
      <c r="J30" s="85" t="inlineStr">
        <is>
          <t>EUR</t>
        </is>
      </c>
      <c r="K30" s="69" t="inlineStr">
        <is>
          <t>Paid</t>
        </is>
      </c>
      <c r="L30" s="89" t="n">
        <v>45964</v>
      </c>
      <c r="M30" s="76" t="inlineStr">
        <is>
          <t>Medium</t>
        </is>
      </c>
      <c r="N30" s="85" t="n">
        <v>90</v>
      </c>
      <c r="O30" s="90" t="n">
        <v>0</v>
      </c>
      <c r="P30" s="86" t="inlineStr"/>
      <c r="Q30" s="89" t="n">
        <v>46170</v>
      </c>
    </row>
    <row r="31" ht="18" customHeight="1">
      <c r="A31" s="84" t="inlineStr">
        <is>
          <t>SUP-0030</t>
        </is>
      </c>
      <c r="B31" s="71" t="inlineStr">
        <is>
          <t>EVT-2025-011</t>
        </is>
      </c>
      <c r="C31" s="70" t="inlineStr">
        <is>
          <t>Influximab Launch Event Amsterdam Dec 2025</t>
        </is>
      </c>
      <c r="D31" s="70" t="inlineStr">
        <is>
          <t>KOL Connect</t>
        </is>
      </c>
      <c r="E31" s="70" t="inlineStr">
        <is>
          <t>Speaker Management</t>
        </is>
      </c>
      <c r="F31" s="71" t="inlineStr">
        <is>
          <t>Negotiating</t>
        </is>
      </c>
      <c r="G31" s="71" t="inlineStr">
        <is>
          <t>PO-2025-1030</t>
        </is>
      </c>
      <c r="H31" s="71" t="inlineStr">
        <is>
          <t>INV-01030</t>
        </is>
      </c>
      <c r="I31" s="73" t="n">
        <v>50161.84</v>
      </c>
      <c r="J31" s="71" t="inlineStr">
        <is>
          <t>EUR</t>
        </is>
      </c>
      <c r="K31" s="95" t="inlineStr">
        <is>
          <t>Invoiced</t>
        </is>
      </c>
      <c r="L31" s="72" t="n">
        <v>45979</v>
      </c>
      <c r="M31" s="76" t="inlineStr">
        <is>
          <t>Medium</t>
        </is>
      </c>
      <c r="N31" s="71" t="n">
        <v>45</v>
      </c>
      <c r="O31" s="91" t="n">
        <v>0</v>
      </c>
      <c r="P31" s="70" t="inlineStr"/>
      <c r="Q31" s="72" t="n">
        <v>46195</v>
      </c>
    </row>
    <row r="32" ht="18" customHeight="1">
      <c r="A32" s="84" t="inlineStr">
        <is>
          <t>SUP-0031</t>
        </is>
      </c>
      <c r="B32" s="85" t="inlineStr">
        <is>
          <t>EVT-2025-012</t>
        </is>
      </c>
      <c r="C32" s="86" t="inlineStr">
        <is>
          <t>Rarzolene KOL Meeting Istanbul Oct 2025</t>
        </is>
      </c>
      <c r="D32" s="86" t="inlineStr">
        <is>
          <t>MedComm Agency</t>
        </is>
      </c>
      <c r="E32" s="86" t="inlineStr">
        <is>
          <t>Medical Communication</t>
        </is>
      </c>
      <c r="F32" s="85" t="inlineStr">
        <is>
          <t>Negotiating</t>
        </is>
      </c>
      <c r="G32" s="85" t="inlineStr">
        <is>
          <t>PO-2025-1031</t>
        </is>
      </c>
      <c r="H32" s="85" t="inlineStr">
        <is>
          <t>INV-01031</t>
        </is>
      </c>
      <c r="I32" s="87" t="n">
        <v>61308.84</v>
      </c>
      <c r="J32" s="85" t="inlineStr">
        <is>
          <t>EUR</t>
        </is>
      </c>
      <c r="K32" s="69" t="inlineStr">
        <is>
          <t>Paid</t>
        </is>
      </c>
      <c r="L32" s="89" t="n">
        <v>45904</v>
      </c>
      <c r="M32" s="76" t="inlineStr">
        <is>
          <t>Medium</t>
        </is>
      </c>
      <c r="N32" s="85" t="n">
        <v>90</v>
      </c>
      <c r="O32" s="90" t="n">
        <v>0</v>
      </c>
      <c r="P32" s="86" t="inlineStr"/>
      <c r="Q32" s="89" t="n">
        <v>46187</v>
      </c>
    </row>
    <row r="33" ht="18" customHeight="1">
      <c r="A33" s="84" t="inlineStr">
        <is>
          <t>SUP-0032</t>
        </is>
      </c>
      <c r="B33" s="71" t="inlineStr">
        <is>
          <t>EVT-2025-013</t>
        </is>
      </c>
      <c r="C33" s="70" t="inlineStr">
        <is>
          <t>Thrombovex KOL Meeting Berlin Sep 2025</t>
        </is>
      </c>
      <c r="D33" s="70" t="inlineStr">
        <is>
          <t>HealthMarketing Group</t>
        </is>
      </c>
      <c r="E33" s="70" t="inlineStr">
        <is>
          <t>Marketing Agency</t>
        </is>
      </c>
      <c r="F33" s="71" t="inlineStr">
        <is>
          <t>Negotiating</t>
        </is>
      </c>
      <c r="G33" s="71" t="inlineStr">
        <is>
          <t>PO-2025-1032</t>
        </is>
      </c>
      <c r="H33" s="71" t="inlineStr">
        <is>
          <t>INV-01032</t>
        </is>
      </c>
      <c r="I33" s="73" t="n">
        <v>6377.3</v>
      </c>
      <c r="J33" s="71" t="inlineStr">
        <is>
          <t>EUR</t>
        </is>
      </c>
      <c r="K33" s="88" t="inlineStr">
        <is>
          <t>Approved</t>
        </is>
      </c>
      <c r="L33" s="72" t="n">
        <v>45900</v>
      </c>
      <c r="M33" s="69" t="inlineStr">
        <is>
          <t>Low</t>
        </is>
      </c>
      <c r="N33" s="71" t="n">
        <v>45</v>
      </c>
      <c r="O33" s="91" t="n">
        <v>0</v>
      </c>
      <c r="P33" s="70" t="inlineStr"/>
      <c r="Q33" s="72" t="n">
        <v>46187</v>
      </c>
    </row>
    <row r="34" ht="18" customHeight="1">
      <c r="A34" s="84" t="inlineStr">
        <is>
          <t>SUP-0033</t>
        </is>
      </c>
      <c r="B34" s="85" t="inlineStr">
        <is>
          <t>EVT-2025-013</t>
        </is>
      </c>
      <c r="C34" s="86" t="inlineStr">
        <is>
          <t>Thrombovex KOL Meeting Berlin Sep 2025</t>
        </is>
      </c>
      <c r="D34" s="86" t="inlineStr">
        <is>
          <t>AVIAWORLD Travel</t>
        </is>
      </c>
      <c r="E34" s="86" t="inlineStr">
        <is>
          <t>Travel &amp; Air</t>
        </is>
      </c>
      <c r="F34" s="85" t="inlineStr">
        <is>
          <t>Active</t>
        </is>
      </c>
      <c r="G34" s="85" t="inlineStr">
        <is>
          <t>PO-2025-1033</t>
        </is>
      </c>
      <c r="H34" s="85" t="inlineStr">
        <is>
          <t>INV-01033</t>
        </is>
      </c>
      <c r="I34" s="87" t="n">
        <v>46142.39</v>
      </c>
      <c r="J34" s="85" t="inlineStr">
        <is>
          <t>EUR</t>
        </is>
      </c>
      <c r="K34" s="96" t="inlineStr">
        <is>
          <t>Pending</t>
        </is>
      </c>
      <c r="L34" s="89" t="n">
        <v>45906</v>
      </c>
      <c r="M34" s="69" t="inlineStr">
        <is>
          <t>Low</t>
        </is>
      </c>
      <c r="N34" s="85" t="n">
        <v>60</v>
      </c>
      <c r="O34" s="90" t="n">
        <v>0</v>
      </c>
      <c r="P34" s="86" t="inlineStr"/>
      <c r="Q34" s="89" t="n">
        <v>46196</v>
      </c>
    </row>
    <row r="35" ht="18" customHeight="1">
      <c r="A35" s="84" t="inlineStr">
        <is>
          <t>SUP-0034</t>
        </is>
      </c>
      <c r="B35" s="71" t="inlineStr">
        <is>
          <t>EVT-2025-013</t>
        </is>
      </c>
      <c r="C35" s="70" t="inlineStr">
        <is>
          <t>Thrombovex KOL Meeting Berlin Sep 2025</t>
        </is>
      </c>
      <c r="D35" s="70" t="inlineStr">
        <is>
          <t>TechEvent Systems</t>
        </is>
      </c>
      <c r="E35" s="70" t="inlineStr">
        <is>
          <t>Registration &amp; Tech</t>
        </is>
      </c>
      <c r="F35" s="71" t="inlineStr">
        <is>
          <t>Negotiating</t>
        </is>
      </c>
      <c r="G35" s="71" t="inlineStr">
        <is>
          <t>PO-2025-1034</t>
        </is>
      </c>
      <c r="H35" s="71" t="inlineStr">
        <is>
          <t>INV-01034</t>
        </is>
      </c>
      <c r="I35" s="73" t="n">
        <v>50337.41</v>
      </c>
      <c r="J35" s="71" t="inlineStr">
        <is>
          <t>EUR</t>
        </is>
      </c>
      <c r="K35" s="93" t="inlineStr">
        <is>
          <t>Overdue</t>
        </is>
      </c>
      <c r="L35" s="72" t="n">
        <v>45904</v>
      </c>
      <c r="M35" s="69" t="inlineStr">
        <is>
          <t>Low</t>
        </is>
      </c>
      <c r="N35" s="71" t="n">
        <v>45</v>
      </c>
      <c r="O35" s="94" t="n">
        <v>293</v>
      </c>
      <c r="P35" s="70" t="inlineStr"/>
      <c r="Q35" s="72" t="n">
        <v>46180</v>
      </c>
    </row>
    <row r="36" ht="18" customHeight="1">
      <c r="A36" s="84" t="inlineStr">
        <is>
          <t>SUP-0035</t>
        </is>
      </c>
      <c r="B36" s="85" t="inlineStr">
        <is>
          <t>EVT-2025-014</t>
        </is>
      </c>
      <c r="C36" s="86" t="inlineStr">
        <is>
          <t>Cognivex Speaker Program Athens Nov 2025</t>
        </is>
      </c>
      <c r="D36" s="86" t="inlineStr">
        <is>
          <t>Translingua Pro</t>
        </is>
      </c>
      <c r="E36" s="86" t="inlineStr">
        <is>
          <t>Translation &amp; Interpretation</t>
        </is>
      </c>
      <c r="F36" s="85" t="inlineStr">
        <is>
          <t>Contract Sent</t>
        </is>
      </c>
      <c r="G36" s="85" t="inlineStr">
        <is>
          <t>PO-2025-1035</t>
        </is>
      </c>
      <c r="H36" s="85" t="inlineStr"/>
      <c r="I36" s="87" t="n">
        <v>21915.48</v>
      </c>
      <c r="J36" s="85" t="inlineStr">
        <is>
          <t>EUR</t>
        </is>
      </c>
      <c r="K36" s="69" t="inlineStr">
        <is>
          <t>Paid</t>
        </is>
      </c>
      <c r="L36" s="89" t="n">
        <v>45956</v>
      </c>
      <c r="M36" s="76" t="inlineStr">
        <is>
          <t>Medium</t>
        </is>
      </c>
      <c r="N36" s="85" t="n">
        <v>90</v>
      </c>
      <c r="O36" s="90" t="n">
        <v>0</v>
      </c>
      <c r="P36" s="86" t="inlineStr"/>
      <c r="Q36" s="89" t="n">
        <v>46185</v>
      </c>
    </row>
    <row r="37" ht="18" customHeight="1">
      <c r="A37" s="84" t="inlineStr">
        <is>
          <t>SUP-0036</t>
        </is>
      </c>
      <c r="B37" s="71" t="inlineStr">
        <is>
          <t>EVT-2025-014</t>
        </is>
      </c>
      <c r="C37" s="70" t="inlineStr">
        <is>
          <t>Cognivex Speaker Program Athens Nov 2025</t>
        </is>
      </c>
      <c r="D37" s="70" t="inlineStr">
        <is>
          <t>Compliance Expert Ltd</t>
        </is>
      </c>
      <c r="E37" s="70" t="inlineStr">
        <is>
          <t>Compliance &amp; Legal</t>
        </is>
      </c>
      <c r="F37" s="71" t="inlineStr">
        <is>
          <t>Contract Sent</t>
        </is>
      </c>
      <c r="G37" s="71" t="inlineStr">
        <is>
          <t>PO-2025-1036</t>
        </is>
      </c>
      <c r="H37" s="71" t="inlineStr">
        <is>
          <t>INV-01036</t>
        </is>
      </c>
      <c r="I37" s="73" t="n">
        <v>14322.1</v>
      </c>
      <c r="J37" s="71" t="inlineStr">
        <is>
          <t>EUR</t>
        </is>
      </c>
      <c r="K37" s="93" t="inlineStr">
        <is>
          <t>Overdue</t>
        </is>
      </c>
      <c r="L37" s="72" t="n">
        <v>45942</v>
      </c>
      <c r="M37" s="93" t="inlineStr">
        <is>
          <t>High</t>
        </is>
      </c>
      <c r="N37" s="71" t="n">
        <v>45</v>
      </c>
      <c r="O37" s="94" t="n">
        <v>255</v>
      </c>
      <c r="P37" s="70" t="inlineStr"/>
      <c r="Q37" s="72" t="n">
        <v>46195</v>
      </c>
    </row>
    <row r="38" ht="18" customHeight="1">
      <c r="A38" s="84" t="inlineStr">
        <is>
          <t>SUP-0037</t>
        </is>
      </c>
      <c r="B38" s="85" t="inlineStr">
        <is>
          <t>EVT-2025-015</t>
        </is>
      </c>
      <c r="C38" s="86" t="inlineStr">
        <is>
          <t>Orphavex Congress Paris Dec 2025</t>
        </is>
      </c>
      <c r="D38" s="86" t="inlineStr">
        <is>
          <t>KOL Connect</t>
        </is>
      </c>
      <c r="E38" s="86" t="inlineStr">
        <is>
          <t>Speaker Management</t>
        </is>
      </c>
      <c r="F38" s="85" t="inlineStr">
        <is>
          <t>Active</t>
        </is>
      </c>
      <c r="G38" s="85" t="inlineStr">
        <is>
          <t>PO-2025-1037</t>
        </is>
      </c>
      <c r="H38" s="85" t="inlineStr"/>
      <c r="I38" s="87" t="n">
        <v>32006.07</v>
      </c>
      <c r="J38" s="85" t="inlineStr">
        <is>
          <t>EUR</t>
        </is>
      </c>
      <c r="K38" s="69" t="inlineStr">
        <is>
          <t>Paid</t>
        </is>
      </c>
      <c r="L38" s="89" t="n">
        <v>45985</v>
      </c>
      <c r="M38" s="69" t="inlineStr">
        <is>
          <t>Low</t>
        </is>
      </c>
      <c r="N38" s="85" t="n">
        <v>90</v>
      </c>
      <c r="O38" s="90" t="n">
        <v>0</v>
      </c>
      <c r="P38" s="86" t="inlineStr"/>
      <c r="Q38" s="89" t="n">
        <v>46183</v>
      </c>
    </row>
    <row r="39" ht="18" customHeight="1">
      <c r="A39" s="84" t="inlineStr">
        <is>
          <t>SUP-0038</t>
        </is>
      </c>
      <c r="B39" s="71" t="inlineStr">
        <is>
          <t>EVT-2025-015</t>
        </is>
      </c>
      <c r="C39" s="70" t="inlineStr">
        <is>
          <t>Orphavex Congress Paris Dec 2025</t>
        </is>
      </c>
      <c r="D39" s="70" t="inlineStr">
        <is>
          <t>Catering Excellence</t>
        </is>
      </c>
      <c r="E39" s="70" t="inlineStr">
        <is>
          <t>F&amp;B / Catering</t>
        </is>
      </c>
      <c r="F39" s="71" t="inlineStr">
        <is>
          <t>Closed</t>
        </is>
      </c>
      <c r="G39" s="71" t="inlineStr">
        <is>
          <t>PO-2025-1038</t>
        </is>
      </c>
      <c r="H39" s="71" t="inlineStr">
        <is>
          <t>INV-01038</t>
        </is>
      </c>
      <c r="I39" s="73" t="n">
        <v>25078.05</v>
      </c>
      <c r="J39" s="71" t="inlineStr">
        <is>
          <t>EUR</t>
        </is>
      </c>
      <c r="K39" s="92" t="inlineStr">
        <is>
          <t>Cancelled</t>
        </is>
      </c>
      <c r="L39" s="72" t="n">
        <v>45978</v>
      </c>
      <c r="M39" s="69" t="inlineStr">
        <is>
          <t>Low</t>
        </is>
      </c>
      <c r="N39" s="71" t="n">
        <v>90</v>
      </c>
      <c r="O39" s="91" t="n">
        <v>0</v>
      </c>
      <c r="P39" s="70" t="inlineStr"/>
      <c r="Q39" s="72" t="n">
        <v>46195</v>
      </c>
    </row>
    <row r="40" ht="18" customHeight="1">
      <c r="A40" s="84" t="inlineStr">
        <is>
          <t>SUP-0039</t>
        </is>
      </c>
      <c r="B40" s="85" t="inlineStr">
        <is>
          <t>EVT-2025-015</t>
        </is>
      </c>
      <c r="C40" s="86" t="inlineStr">
        <is>
          <t>Orphavex Congress Paris Dec 2025</t>
        </is>
      </c>
      <c r="D40" s="86" t="inlineStr">
        <is>
          <t>Translingua Pro</t>
        </is>
      </c>
      <c r="E40" s="86" t="inlineStr">
        <is>
          <t>Translation &amp; Interpretation</t>
        </is>
      </c>
      <c r="F40" s="85" t="inlineStr">
        <is>
          <t>Active</t>
        </is>
      </c>
      <c r="G40" s="85" t="inlineStr">
        <is>
          <t>PO-2025-1039</t>
        </is>
      </c>
      <c r="H40" s="85" t="inlineStr">
        <is>
          <t>INV-01039</t>
        </is>
      </c>
      <c r="I40" s="87" t="n">
        <v>2631.64</v>
      </c>
      <c r="J40" s="85" t="inlineStr">
        <is>
          <t>EUR</t>
        </is>
      </c>
      <c r="K40" s="96" t="inlineStr">
        <is>
          <t>Pending</t>
        </is>
      </c>
      <c r="L40" s="89" t="n">
        <v>45979</v>
      </c>
      <c r="M40" s="76" t="inlineStr">
        <is>
          <t>Medium</t>
        </is>
      </c>
      <c r="N40" s="85" t="n">
        <v>90</v>
      </c>
      <c r="O40" s="90" t="n">
        <v>0</v>
      </c>
      <c r="P40" s="86" t="inlineStr"/>
      <c r="Q40" s="89" t="n">
        <v>46183</v>
      </c>
    </row>
    <row r="41" ht="18" customHeight="1">
      <c r="A41" s="84" t="inlineStr">
        <is>
          <t>SUP-0040</t>
        </is>
      </c>
      <c r="B41" s="71" t="inlineStr">
        <is>
          <t>EVT-2025-015</t>
        </is>
      </c>
      <c r="C41" s="70" t="inlineStr">
        <is>
          <t>Orphavex Congress Paris Dec 2025</t>
        </is>
      </c>
      <c r="D41" s="70" t="inlineStr">
        <is>
          <t>TechEvent Systems</t>
        </is>
      </c>
      <c r="E41" s="70" t="inlineStr">
        <is>
          <t>Registration &amp; Tech</t>
        </is>
      </c>
      <c r="F41" s="71" t="inlineStr">
        <is>
          <t>Active</t>
        </is>
      </c>
      <c r="G41" s="71" t="inlineStr">
        <is>
          <t>PO-2025-1040</t>
        </is>
      </c>
      <c r="H41" s="71" t="inlineStr">
        <is>
          <t>INV-01040</t>
        </is>
      </c>
      <c r="I41" s="73" t="n">
        <v>66961.42999999999</v>
      </c>
      <c r="J41" s="71" t="inlineStr">
        <is>
          <t>EUR</t>
        </is>
      </c>
      <c r="K41" s="88" t="inlineStr">
        <is>
          <t>Approved</t>
        </is>
      </c>
      <c r="L41" s="72" t="n">
        <v>45991</v>
      </c>
      <c r="M41" s="76" t="inlineStr">
        <is>
          <t>Medium</t>
        </is>
      </c>
      <c r="N41" s="71" t="n">
        <v>60</v>
      </c>
      <c r="O41" s="91" t="n">
        <v>0</v>
      </c>
      <c r="P41" s="70" t="inlineStr"/>
      <c r="Q41" s="72" t="n">
        <v>46194</v>
      </c>
    </row>
    <row r="42" ht="18" customHeight="1">
      <c r="A42" s="84" t="inlineStr">
        <is>
          <t>SUP-0041</t>
        </is>
      </c>
      <c r="B42" s="85" t="inlineStr">
        <is>
          <t>EVT-2025-016</t>
        </is>
      </c>
      <c r="C42" s="86" t="inlineStr">
        <is>
          <t>Genetrix Speaker Program Warsaw Jan 2025</t>
        </is>
      </c>
      <c r="D42" s="86" t="inlineStr">
        <is>
          <t>Prime Hospitality Group</t>
        </is>
      </c>
      <c r="E42" s="86" t="inlineStr">
        <is>
          <t>Hotel &amp; Venue</t>
        </is>
      </c>
      <c r="F42" s="85" t="inlineStr">
        <is>
          <t>Terminated</t>
        </is>
      </c>
      <c r="G42" s="85" t="inlineStr">
        <is>
          <t>PO-2025-1041</t>
        </is>
      </c>
      <c r="H42" s="85" t="inlineStr">
        <is>
          <t>INV-01041</t>
        </is>
      </c>
      <c r="I42" s="87" t="n">
        <v>54865.63</v>
      </c>
      <c r="J42" s="85" t="inlineStr">
        <is>
          <t>EUR</t>
        </is>
      </c>
      <c r="K42" s="76" t="inlineStr">
        <is>
          <t>Disputed</t>
        </is>
      </c>
      <c r="L42" s="89" t="n">
        <v>45629</v>
      </c>
      <c r="M42" s="76" t="inlineStr">
        <is>
          <t>Medium</t>
        </is>
      </c>
      <c r="N42" s="85" t="n">
        <v>90</v>
      </c>
      <c r="O42" s="90" t="n">
        <v>0</v>
      </c>
      <c r="P42" s="86" t="inlineStr"/>
      <c r="Q42" s="89" t="n">
        <v>46174</v>
      </c>
    </row>
    <row r="43" ht="18" customHeight="1">
      <c r="A43" s="84" t="inlineStr">
        <is>
          <t>SUP-0042</t>
        </is>
      </c>
      <c r="B43" s="71" t="inlineStr">
        <is>
          <t>EVT-2025-016</t>
        </is>
      </c>
      <c r="C43" s="70" t="inlineStr">
        <is>
          <t>Genetrix Speaker Program Warsaw Jan 2025</t>
        </is>
      </c>
      <c r="D43" s="70" t="inlineStr">
        <is>
          <t>Compliance Expert Ltd</t>
        </is>
      </c>
      <c r="E43" s="70" t="inlineStr">
        <is>
          <t>Compliance &amp; Legal</t>
        </is>
      </c>
      <c r="F43" s="71" t="inlineStr">
        <is>
          <t>Terminated</t>
        </is>
      </c>
      <c r="G43" s="71" t="inlineStr">
        <is>
          <t>PO-2025-1042</t>
        </is>
      </c>
      <c r="H43" s="71" t="inlineStr"/>
      <c r="I43" s="73" t="n">
        <v>9578.790000000001</v>
      </c>
      <c r="J43" s="71" t="inlineStr">
        <is>
          <t>EUR</t>
        </is>
      </c>
      <c r="K43" s="95" t="inlineStr">
        <is>
          <t>Invoiced</t>
        </is>
      </c>
      <c r="L43" s="72" t="n">
        <v>45632</v>
      </c>
      <c r="M43" s="76" t="inlineStr">
        <is>
          <t>Medium</t>
        </is>
      </c>
      <c r="N43" s="71" t="n">
        <v>30</v>
      </c>
      <c r="O43" s="91" t="n">
        <v>0</v>
      </c>
      <c r="P43" s="70" t="inlineStr"/>
      <c r="Q43" s="72" t="n">
        <v>46194</v>
      </c>
    </row>
    <row r="44" ht="18" customHeight="1">
      <c r="A44" s="84" t="inlineStr">
        <is>
          <t>SUP-0043</t>
        </is>
      </c>
      <c r="B44" s="85" t="inlineStr">
        <is>
          <t>EVT-2025-016</t>
        </is>
      </c>
      <c r="C44" s="86" t="inlineStr">
        <is>
          <t>Genetrix Speaker Program Warsaw Jan 2025</t>
        </is>
      </c>
      <c r="D44" s="86" t="inlineStr">
        <is>
          <t>HealthMarketing Group</t>
        </is>
      </c>
      <c r="E44" s="86" t="inlineStr">
        <is>
          <t>Marketing Agency</t>
        </is>
      </c>
      <c r="F44" s="85" t="inlineStr">
        <is>
          <t>Contract Sent</t>
        </is>
      </c>
      <c r="G44" s="85" t="inlineStr">
        <is>
          <t>PO-2025-1043</t>
        </is>
      </c>
      <c r="H44" s="85" t="inlineStr">
        <is>
          <t>INV-01043</t>
        </is>
      </c>
      <c r="I44" s="87" t="n">
        <v>47206.76</v>
      </c>
      <c r="J44" s="85" t="inlineStr">
        <is>
          <t>EUR</t>
        </is>
      </c>
      <c r="K44" s="95" t="inlineStr">
        <is>
          <t>Invoiced</t>
        </is>
      </c>
      <c r="L44" s="89" t="n">
        <v>45629</v>
      </c>
      <c r="M44" s="69" t="inlineStr">
        <is>
          <t>Low</t>
        </is>
      </c>
      <c r="N44" s="85" t="n">
        <v>90</v>
      </c>
      <c r="O44" s="90" t="n">
        <v>0</v>
      </c>
      <c r="P44" s="86" t="inlineStr"/>
      <c r="Q44" s="89" t="n">
        <v>46184</v>
      </c>
    </row>
    <row r="45" ht="18" customHeight="1">
      <c r="A45" s="84" t="inlineStr">
        <is>
          <t>SUP-0044</t>
        </is>
      </c>
      <c r="B45" s="71" t="inlineStr">
        <is>
          <t>EVT-2025-017</t>
        </is>
      </c>
      <c r="C45" s="70" t="inlineStr">
        <is>
          <t>Eplitazan Internal Meeting Budapest Nov 2025</t>
        </is>
      </c>
      <c r="D45" s="70" t="inlineStr">
        <is>
          <t>MedAudio AV Solutions</t>
        </is>
      </c>
      <c r="E45" s="70" t="inlineStr">
        <is>
          <t>AV &amp; Technology</t>
        </is>
      </c>
      <c r="F45" s="71" t="inlineStr">
        <is>
          <t>Negotiating</t>
        </is>
      </c>
      <c r="G45" s="71" t="inlineStr">
        <is>
          <t>PO-2025-1044</t>
        </is>
      </c>
      <c r="H45" s="71" t="inlineStr">
        <is>
          <t>INV-01044</t>
        </is>
      </c>
      <c r="I45" s="73" t="n">
        <v>30536.89</v>
      </c>
      <c r="J45" s="71" t="inlineStr">
        <is>
          <t>EUR</t>
        </is>
      </c>
      <c r="K45" s="92" t="inlineStr">
        <is>
          <t>Cancelled</t>
        </is>
      </c>
      <c r="L45" s="72" t="n">
        <v>45946</v>
      </c>
      <c r="M45" s="93" t="inlineStr">
        <is>
          <t>High</t>
        </is>
      </c>
      <c r="N45" s="71" t="n">
        <v>30</v>
      </c>
      <c r="O45" s="91" t="n">
        <v>0</v>
      </c>
      <c r="P45" s="70" t="inlineStr"/>
      <c r="Q45" s="72" t="n">
        <v>46180</v>
      </c>
    </row>
    <row r="46" ht="18" customHeight="1">
      <c r="A46" s="84" t="inlineStr">
        <is>
          <t>SUP-0045</t>
        </is>
      </c>
      <c r="B46" s="85" t="inlineStr">
        <is>
          <t>EVT-2025-017</t>
        </is>
      </c>
      <c r="C46" s="86" t="inlineStr">
        <is>
          <t>Eplitazan Internal Meeting Budapest Nov 2025</t>
        </is>
      </c>
      <c r="D46" s="86" t="inlineStr">
        <is>
          <t>Prime Hospitality Group</t>
        </is>
      </c>
      <c r="E46" s="86" t="inlineStr">
        <is>
          <t>Hotel &amp; Venue</t>
        </is>
      </c>
      <c r="F46" s="85" t="inlineStr">
        <is>
          <t>Closed</t>
        </is>
      </c>
      <c r="G46" s="85" t="inlineStr">
        <is>
          <t>PO-2025-1045</t>
        </is>
      </c>
      <c r="H46" s="85" t="inlineStr"/>
      <c r="I46" s="87" t="n">
        <v>66325.81</v>
      </c>
      <c r="J46" s="85" t="inlineStr">
        <is>
          <t>EUR</t>
        </is>
      </c>
      <c r="K46" s="95" t="inlineStr">
        <is>
          <t>Invoiced</t>
        </is>
      </c>
      <c r="L46" s="89" t="n">
        <v>45947</v>
      </c>
      <c r="M46" s="93" t="inlineStr">
        <is>
          <t>High</t>
        </is>
      </c>
      <c r="N46" s="85" t="n">
        <v>30</v>
      </c>
      <c r="O46" s="90" t="n">
        <v>0</v>
      </c>
      <c r="P46" s="86" t="inlineStr"/>
      <c r="Q46" s="89" t="n">
        <v>46171</v>
      </c>
    </row>
    <row r="47" ht="18" customHeight="1">
      <c r="A47" s="84" t="inlineStr">
        <is>
          <t>SUP-0046</t>
        </is>
      </c>
      <c r="B47" s="71" t="inlineStr">
        <is>
          <t>EVT-2025-017</t>
        </is>
      </c>
      <c r="C47" s="70" t="inlineStr">
        <is>
          <t>Eplitazan Internal Meeting Budapest Nov 2025</t>
        </is>
      </c>
      <c r="D47" s="70" t="inlineStr">
        <is>
          <t>HealthMarketing Group</t>
        </is>
      </c>
      <c r="E47" s="70" t="inlineStr">
        <is>
          <t>Marketing Agency</t>
        </is>
      </c>
      <c r="F47" s="71" t="inlineStr">
        <is>
          <t>Terminated</t>
        </is>
      </c>
      <c r="G47" s="71" t="inlineStr">
        <is>
          <t>PO-2025-1046</t>
        </is>
      </c>
      <c r="H47" s="71" t="inlineStr">
        <is>
          <t>INV-01046</t>
        </is>
      </c>
      <c r="I47" s="73" t="n">
        <v>64730.14</v>
      </c>
      <c r="J47" s="71" t="inlineStr">
        <is>
          <t>EUR</t>
        </is>
      </c>
      <c r="K47" s="88" t="inlineStr">
        <is>
          <t>Approved</t>
        </is>
      </c>
      <c r="L47" s="72" t="n">
        <v>45948</v>
      </c>
      <c r="M47" s="93" t="inlineStr">
        <is>
          <t>High</t>
        </is>
      </c>
      <c r="N47" s="71" t="n">
        <v>30</v>
      </c>
      <c r="O47" s="91" t="n">
        <v>0</v>
      </c>
      <c r="P47" s="70" t="inlineStr"/>
      <c r="Q47" s="72" t="n">
        <v>46172</v>
      </c>
    </row>
    <row r="48" ht="18" customHeight="1">
      <c r="A48" s="84" t="inlineStr">
        <is>
          <t>SUP-0047</t>
        </is>
      </c>
      <c r="B48" s="85" t="inlineStr">
        <is>
          <t>EVT-2025-017</t>
        </is>
      </c>
      <c r="C48" s="86" t="inlineStr">
        <is>
          <t>Eplitazan Internal Meeting Budapest Nov 2025</t>
        </is>
      </c>
      <c r="D48" s="86" t="inlineStr">
        <is>
          <t>PrintMed Solutions</t>
        </is>
      </c>
      <c r="E48" s="86" t="inlineStr">
        <is>
          <t>Print &amp; Production</t>
        </is>
      </c>
      <c r="F48" s="85" t="inlineStr">
        <is>
          <t>Terminated</t>
        </is>
      </c>
      <c r="G48" s="85" t="inlineStr">
        <is>
          <t>PO-2025-1047</t>
        </is>
      </c>
      <c r="H48" s="85" t="inlineStr">
        <is>
          <t>INV-01047</t>
        </is>
      </c>
      <c r="I48" s="87" t="n">
        <v>69090.97</v>
      </c>
      <c r="J48" s="85" t="inlineStr">
        <is>
          <t>EUR</t>
        </is>
      </c>
      <c r="K48" s="69" t="inlineStr">
        <is>
          <t>Paid</t>
        </is>
      </c>
      <c r="L48" s="89" t="n">
        <v>45939</v>
      </c>
      <c r="M48" s="76" t="inlineStr">
        <is>
          <t>Medium</t>
        </is>
      </c>
      <c r="N48" s="85" t="n">
        <v>60</v>
      </c>
      <c r="O48" s="90" t="n">
        <v>0</v>
      </c>
      <c r="P48" s="86" t="inlineStr"/>
      <c r="Q48" s="89" t="n">
        <v>46169</v>
      </c>
    </row>
    <row r="49" ht="18" customHeight="1">
      <c r="A49" s="84" t="inlineStr">
        <is>
          <t>SUP-0048</t>
        </is>
      </c>
      <c r="B49" s="71" t="inlineStr">
        <is>
          <t>EVT-2025-018</t>
        </is>
      </c>
      <c r="C49" s="70" t="inlineStr">
        <is>
          <t>Caprexosin Launch Event Prague Jan 2025</t>
        </is>
      </c>
      <c r="D49" s="70" t="inlineStr">
        <is>
          <t>PharmaLogix</t>
        </is>
      </c>
      <c r="E49" s="70" t="inlineStr">
        <is>
          <t>Logistics &amp; Transport</t>
        </is>
      </c>
      <c r="F49" s="71" t="inlineStr">
        <is>
          <t>Contract Sent</t>
        </is>
      </c>
      <c r="G49" s="71" t="inlineStr">
        <is>
          <t>PO-2025-1048</t>
        </is>
      </c>
      <c r="H49" s="71" t="inlineStr"/>
      <c r="I49" s="73" t="n">
        <v>11639.92</v>
      </c>
      <c r="J49" s="71" t="inlineStr">
        <is>
          <t>EUR</t>
        </is>
      </c>
      <c r="K49" s="76" t="inlineStr">
        <is>
          <t>Disputed</t>
        </is>
      </c>
      <c r="L49" s="72" t="n">
        <v>45649</v>
      </c>
      <c r="M49" s="76" t="inlineStr">
        <is>
          <t>Medium</t>
        </is>
      </c>
      <c r="N49" s="71" t="n">
        <v>45</v>
      </c>
      <c r="O49" s="91" t="n">
        <v>0</v>
      </c>
      <c r="P49" s="70" t="inlineStr"/>
      <c r="Q49" s="72" t="n">
        <v>46177</v>
      </c>
    </row>
    <row r="50" ht="18" customHeight="1">
      <c r="A50" s="84" t="inlineStr">
        <is>
          <t>SUP-0049</t>
        </is>
      </c>
      <c r="B50" s="85" t="inlineStr">
        <is>
          <t>EVT-2025-018</t>
        </is>
      </c>
      <c r="C50" s="86" t="inlineStr">
        <is>
          <t>Caprexosin Launch Event Prague Jan 2025</t>
        </is>
      </c>
      <c r="D50" s="86" t="inlineStr">
        <is>
          <t>InterCongress PCO</t>
        </is>
      </c>
      <c r="E50" s="86" t="inlineStr">
        <is>
          <t>PCO / Event Agency</t>
        </is>
      </c>
      <c r="F50" s="85" t="inlineStr">
        <is>
          <t>Signed</t>
        </is>
      </c>
      <c r="G50" s="85" t="inlineStr">
        <is>
          <t>PO-2025-1049</t>
        </is>
      </c>
      <c r="H50" s="85" t="inlineStr">
        <is>
          <t>INV-01049</t>
        </is>
      </c>
      <c r="I50" s="87" t="n">
        <v>66148.55</v>
      </c>
      <c r="J50" s="85" t="inlineStr">
        <is>
          <t>EUR</t>
        </is>
      </c>
      <c r="K50" s="88" t="inlineStr">
        <is>
          <t>Approved</t>
        </is>
      </c>
      <c r="L50" s="89" t="n">
        <v>45649</v>
      </c>
      <c r="M50" s="69" t="inlineStr">
        <is>
          <t>Low</t>
        </is>
      </c>
      <c r="N50" s="85" t="n">
        <v>90</v>
      </c>
      <c r="O50" s="90" t="n">
        <v>0</v>
      </c>
      <c r="P50" s="86" t="inlineStr"/>
      <c r="Q50" s="89" t="n">
        <v>46167</v>
      </c>
    </row>
    <row r="51" ht="18" customHeight="1">
      <c r="A51" s="84" t="inlineStr">
        <is>
          <t>SUP-0050</t>
        </is>
      </c>
      <c r="B51" s="71" t="inlineStr">
        <is>
          <t>EVT-2025-018</t>
        </is>
      </c>
      <c r="C51" s="70" t="inlineStr">
        <is>
          <t>Caprexosin Launch Event Prague Jan 2025</t>
        </is>
      </c>
      <c r="D51" s="70" t="inlineStr">
        <is>
          <t>Venue Masters EMEA</t>
        </is>
      </c>
      <c r="E51" s="70" t="inlineStr">
        <is>
          <t>Venue Sourcing</t>
        </is>
      </c>
      <c r="F51" s="71" t="inlineStr">
        <is>
          <t>Negotiating</t>
        </is>
      </c>
      <c r="G51" s="71" t="inlineStr">
        <is>
          <t>PO-2025-1050</t>
        </is>
      </c>
      <c r="H51" s="71" t="inlineStr"/>
      <c r="I51" s="73" t="n">
        <v>70970.32000000001</v>
      </c>
      <c r="J51" s="71" t="inlineStr">
        <is>
          <t>EUR</t>
        </is>
      </c>
      <c r="K51" s="93" t="inlineStr">
        <is>
          <t>Overdue</t>
        </is>
      </c>
      <c r="L51" s="72" t="n">
        <v>45643</v>
      </c>
      <c r="M51" s="69" t="inlineStr">
        <is>
          <t>Low</t>
        </is>
      </c>
      <c r="N51" s="71" t="n">
        <v>60</v>
      </c>
      <c r="O51" s="94" t="n">
        <v>554</v>
      </c>
      <c r="P51" s="70" t="inlineStr"/>
      <c r="Q51" s="72" t="n">
        <v>46186</v>
      </c>
    </row>
    <row r="52" ht="18" customHeight="1">
      <c r="A52" s="84" t="inlineStr">
        <is>
          <t>SUP-0051</t>
        </is>
      </c>
      <c r="B52" s="85" t="inlineStr">
        <is>
          <t>EVT-2025-018</t>
        </is>
      </c>
      <c r="C52" s="86" t="inlineStr">
        <is>
          <t>Caprexosin Launch Event Prague Jan 2025</t>
        </is>
      </c>
      <c r="D52" s="86" t="inlineStr">
        <is>
          <t>MedComm Agency</t>
        </is>
      </c>
      <c r="E52" s="86" t="inlineStr">
        <is>
          <t>Medical Communication</t>
        </is>
      </c>
      <c r="F52" s="85" t="inlineStr">
        <is>
          <t>Closed</t>
        </is>
      </c>
      <c r="G52" s="85" t="inlineStr">
        <is>
          <t>PO-2025-1051</t>
        </is>
      </c>
      <c r="H52" s="85" t="inlineStr">
        <is>
          <t>INV-01051</t>
        </is>
      </c>
      <c r="I52" s="87" t="n">
        <v>51561.51</v>
      </c>
      <c r="J52" s="85" t="inlineStr">
        <is>
          <t>EUR</t>
        </is>
      </c>
      <c r="K52" s="95" t="inlineStr">
        <is>
          <t>Invoiced</t>
        </is>
      </c>
      <c r="L52" s="89" t="n">
        <v>45646</v>
      </c>
      <c r="M52" s="93" t="inlineStr">
        <is>
          <t>High</t>
        </is>
      </c>
      <c r="N52" s="85" t="n">
        <v>30</v>
      </c>
      <c r="O52" s="90" t="n">
        <v>0</v>
      </c>
      <c r="P52" s="86" t="inlineStr"/>
      <c r="Q52" s="89" t="n">
        <v>46171</v>
      </c>
    </row>
    <row r="53" ht="18" customHeight="1">
      <c r="A53" s="84" t="inlineStr">
        <is>
          <t>SUP-0052</t>
        </is>
      </c>
      <c r="B53" s="71" t="inlineStr">
        <is>
          <t>EVT-2025-018</t>
        </is>
      </c>
      <c r="C53" s="70" t="inlineStr">
        <is>
          <t>Caprexosin Launch Event Prague Jan 2025</t>
        </is>
      </c>
      <c r="D53" s="70" t="inlineStr">
        <is>
          <t>AVIAWORLD Travel</t>
        </is>
      </c>
      <c r="E53" s="70" t="inlineStr">
        <is>
          <t>Travel &amp; Air</t>
        </is>
      </c>
      <c r="F53" s="71" t="inlineStr">
        <is>
          <t>RFP Sent</t>
        </is>
      </c>
      <c r="G53" s="71" t="inlineStr">
        <is>
          <t>PO-2025-1052</t>
        </is>
      </c>
      <c r="H53" s="71" t="inlineStr">
        <is>
          <t>INV-01052</t>
        </is>
      </c>
      <c r="I53" s="73" t="n">
        <v>12902.61</v>
      </c>
      <c r="J53" s="71" t="inlineStr">
        <is>
          <t>EUR</t>
        </is>
      </c>
      <c r="K53" s="69" t="inlineStr">
        <is>
          <t>Paid</t>
        </is>
      </c>
      <c r="L53" s="72" t="n">
        <v>45659</v>
      </c>
      <c r="M53" s="69" t="inlineStr">
        <is>
          <t>Low</t>
        </is>
      </c>
      <c r="N53" s="71" t="n">
        <v>45</v>
      </c>
      <c r="O53" s="91" t="n">
        <v>0</v>
      </c>
      <c r="P53" s="70" t="inlineStr"/>
      <c r="Q53" s="72" t="n">
        <v>46170</v>
      </c>
    </row>
    <row r="54" ht="18" customHeight="1">
      <c r="A54" s="84" t="inlineStr">
        <is>
          <t>SUP-0053</t>
        </is>
      </c>
      <c r="B54" s="85" t="inlineStr">
        <is>
          <t>EVT-2025-019</t>
        </is>
      </c>
      <c r="C54" s="86" t="inlineStr">
        <is>
          <t>Influximab Advisory Board London Sep 2025</t>
        </is>
      </c>
      <c r="D54" s="86" t="inlineStr">
        <is>
          <t>Prime Hospitality Group</t>
        </is>
      </c>
      <c r="E54" s="86" t="inlineStr">
        <is>
          <t>Hotel &amp; Venue</t>
        </is>
      </c>
      <c r="F54" s="85" t="inlineStr">
        <is>
          <t>Closed</t>
        </is>
      </c>
      <c r="G54" s="85" t="inlineStr">
        <is>
          <t>PO-2025-1053</t>
        </is>
      </c>
      <c r="H54" s="85" t="inlineStr">
        <is>
          <t>INV-01053</t>
        </is>
      </c>
      <c r="I54" s="87" t="n">
        <v>12581.8</v>
      </c>
      <c r="J54" s="85" t="inlineStr">
        <is>
          <t>EUR</t>
        </is>
      </c>
      <c r="K54" s="76" t="inlineStr">
        <is>
          <t>Disputed</t>
        </is>
      </c>
      <c r="L54" s="89" t="n">
        <v>45885</v>
      </c>
      <c r="M54" s="69" t="inlineStr">
        <is>
          <t>Low</t>
        </is>
      </c>
      <c r="N54" s="85" t="n">
        <v>90</v>
      </c>
      <c r="O54" s="90" t="n">
        <v>0</v>
      </c>
      <c r="P54" s="86" t="inlineStr"/>
      <c r="Q54" s="89" t="n">
        <v>46187</v>
      </c>
    </row>
    <row r="55" ht="18" customHeight="1">
      <c r="A55" s="84" t="inlineStr">
        <is>
          <t>SUP-0054</t>
        </is>
      </c>
      <c r="B55" s="71" t="inlineStr">
        <is>
          <t>EVT-2025-020</t>
        </is>
      </c>
      <c r="C55" s="70" t="inlineStr">
        <is>
          <t>Cognivex Symposium Istanbul Mar 2025</t>
        </is>
      </c>
      <c r="D55" s="70" t="inlineStr">
        <is>
          <t>MedComm Agency</t>
        </is>
      </c>
      <c r="E55" s="70" t="inlineStr">
        <is>
          <t>Medical Communication</t>
        </is>
      </c>
      <c r="F55" s="71" t="inlineStr">
        <is>
          <t>RFP Sent</t>
        </is>
      </c>
      <c r="G55" s="71" t="inlineStr">
        <is>
          <t>PO-2025-1054</t>
        </is>
      </c>
      <c r="H55" s="71" t="inlineStr">
        <is>
          <t>INV-01054</t>
        </is>
      </c>
      <c r="I55" s="73" t="n">
        <v>53083.91</v>
      </c>
      <c r="J55" s="71" t="inlineStr">
        <is>
          <t>EUR</t>
        </is>
      </c>
      <c r="K55" s="95" t="inlineStr">
        <is>
          <t>Invoiced</t>
        </is>
      </c>
      <c r="L55" s="72" t="n">
        <v>45720</v>
      </c>
      <c r="M55" s="76" t="inlineStr">
        <is>
          <t>Medium</t>
        </is>
      </c>
      <c r="N55" s="71" t="n">
        <v>90</v>
      </c>
      <c r="O55" s="91" t="n">
        <v>0</v>
      </c>
      <c r="P55" s="70" t="inlineStr"/>
      <c r="Q55" s="72" t="n">
        <v>46175</v>
      </c>
    </row>
    <row r="56" ht="18" customHeight="1">
      <c r="A56" s="84" t="inlineStr">
        <is>
          <t>SUP-0055</t>
        </is>
      </c>
      <c r="B56" s="85" t="inlineStr">
        <is>
          <t>EVT-2025-020</t>
        </is>
      </c>
      <c r="C56" s="86" t="inlineStr">
        <is>
          <t>Cognivex Symposium Istanbul Mar 2025</t>
        </is>
      </c>
      <c r="D56" s="86" t="inlineStr">
        <is>
          <t>DigitalPharma Studio</t>
        </is>
      </c>
      <c r="E56" s="86" t="inlineStr">
        <is>
          <t>Digital &amp; Web</t>
        </is>
      </c>
      <c r="F56" s="85" t="inlineStr">
        <is>
          <t>Contract Sent</t>
        </is>
      </c>
      <c r="G56" s="85" t="inlineStr">
        <is>
          <t>PO-2025-1055</t>
        </is>
      </c>
      <c r="H56" s="85" t="inlineStr">
        <is>
          <t>INV-01055</t>
        </is>
      </c>
      <c r="I56" s="87" t="n">
        <v>18947.04</v>
      </c>
      <c r="J56" s="85" t="inlineStr">
        <is>
          <t>EUR</t>
        </is>
      </c>
      <c r="K56" s="92" t="inlineStr">
        <is>
          <t>Cancelled</t>
        </is>
      </c>
      <c r="L56" s="89" t="n">
        <v>45721</v>
      </c>
      <c r="M56" s="93" t="inlineStr">
        <is>
          <t>High</t>
        </is>
      </c>
      <c r="N56" s="85" t="n">
        <v>60</v>
      </c>
      <c r="O56" s="90" t="n">
        <v>0</v>
      </c>
      <c r="P56" s="86" t="inlineStr"/>
      <c r="Q56" s="89" t="n">
        <v>46175</v>
      </c>
    </row>
    <row r="57" ht="18" customHeight="1">
      <c r="A57" s="84" t="inlineStr">
        <is>
          <t>SUP-0056</t>
        </is>
      </c>
      <c r="B57" s="71" t="inlineStr">
        <is>
          <t>EVT-2025-020</t>
        </is>
      </c>
      <c r="C57" s="70" t="inlineStr">
        <is>
          <t>Cognivex Symposium Istanbul Mar 2025</t>
        </is>
      </c>
      <c r="D57" s="70" t="inlineStr">
        <is>
          <t>KOL Connect</t>
        </is>
      </c>
      <c r="E57" s="70" t="inlineStr">
        <is>
          <t>Speaker Management</t>
        </is>
      </c>
      <c r="F57" s="71" t="inlineStr">
        <is>
          <t>Contract Sent</t>
        </is>
      </c>
      <c r="G57" s="71" t="inlineStr">
        <is>
          <t>PO-2025-1056</t>
        </is>
      </c>
      <c r="H57" s="71" t="inlineStr"/>
      <c r="I57" s="73" t="n">
        <v>55483.06</v>
      </c>
      <c r="J57" s="71" t="inlineStr">
        <is>
          <t>EUR</t>
        </is>
      </c>
      <c r="K57" s="76" t="inlineStr">
        <is>
          <t>Disputed</t>
        </is>
      </c>
      <c r="L57" s="72" t="n">
        <v>45718</v>
      </c>
      <c r="M57" s="93" t="inlineStr">
        <is>
          <t>High</t>
        </is>
      </c>
      <c r="N57" s="71" t="n">
        <v>90</v>
      </c>
      <c r="O57" s="91" t="n">
        <v>0</v>
      </c>
      <c r="P57" s="70" t="inlineStr"/>
      <c r="Q57" s="72" t="n">
        <v>46194</v>
      </c>
    </row>
    <row r="58" ht="18" customHeight="1">
      <c r="A58" s="84" t="inlineStr">
        <is>
          <t>SUP-0057</t>
        </is>
      </c>
      <c r="B58" s="85" t="inlineStr">
        <is>
          <t>EVT-2025-020</t>
        </is>
      </c>
      <c r="C58" s="86" t="inlineStr">
        <is>
          <t>Cognivex Symposium Istanbul Mar 2025</t>
        </is>
      </c>
      <c r="D58" s="86" t="inlineStr">
        <is>
          <t>Venue Masters EMEA</t>
        </is>
      </c>
      <c r="E58" s="86" t="inlineStr">
        <is>
          <t>Venue Sourcing</t>
        </is>
      </c>
      <c r="F58" s="85" t="inlineStr">
        <is>
          <t>Signed</t>
        </is>
      </c>
      <c r="G58" s="85" t="inlineStr">
        <is>
          <t>PO-2025-1057</t>
        </is>
      </c>
      <c r="H58" s="85" t="inlineStr"/>
      <c r="I58" s="87" t="n">
        <v>23518.75</v>
      </c>
      <c r="J58" s="85" t="inlineStr">
        <is>
          <t>EUR</t>
        </is>
      </c>
      <c r="K58" s="92" t="inlineStr">
        <is>
          <t>Cancelled</t>
        </is>
      </c>
      <c r="L58" s="89" t="n">
        <v>45732</v>
      </c>
      <c r="M58" s="93" t="inlineStr">
        <is>
          <t>High</t>
        </is>
      </c>
      <c r="N58" s="85" t="n">
        <v>30</v>
      </c>
      <c r="O58" s="90" t="n">
        <v>0</v>
      </c>
      <c r="P58" s="86" t="inlineStr"/>
      <c r="Q58" s="89" t="n">
        <v>46173</v>
      </c>
    </row>
    <row r="59" ht="18" customHeight="1">
      <c r="A59" s="84" t="inlineStr">
        <is>
          <t>SUP-0058</t>
        </is>
      </c>
      <c r="B59" s="71" t="inlineStr">
        <is>
          <t>EVT-2025-020</t>
        </is>
      </c>
      <c r="C59" s="70" t="inlineStr">
        <is>
          <t>Cognivex Symposium Istanbul Mar 2025</t>
        </is>
      </c>
      <c r="D59" s="70" t="inlineStr">
        <is>
          <t>MedAudio AV Solutions</t>
        </is>
      </c>
      <c r="E59" s="70" t="inlineStr">
        <is>
          <t>AV &amp; Technology</t>
        </is>
      </c>
      <c r="F59" s="71" t="inlineStr">
        <is>
          <t>RFP Sent</t>
        </is>
      </c>
      <c r="G59" s="71" t="inlineStr">
        <is>
          <t>PO-2025-1058</t>
        </is>
      </c>
      <c r="H59" s="71" t="inlineStr"/>
      <c r="I59" s="73" t="n">
        <v>18544.25</v>
      </c>
      <c r="J59" s="71" t="inlineStr">
        <is>
          <t>EUR</t>
        </is>
      </c>
      <c r="K59" s="96" t="inlineStr">
        <is>
          <t>Pending</t>
        </is>
      </c>
      <c r="L59" s="72" t="n">
        <v>45715</v>
      </c>
      <c r="M59" s="69" t="inlineStr">
        <is>
          <t>Low</t>
        </is>
      </c>
      <c r="N59" s="71" t="n">
        <v>45</v>
      </c>
      <c r="O59" s="91" t="n">
        <v>0</v>
      </c>
      <c r="P59" s="70" t="inlineStr"/>
      <c r="Q59" s="72" t="n">
        <v>46197</v>
      </c>
    </row>
    <row r="60" ht="18" customHeight="1">
      <c r="A60" s="84" t="inlineStr">
        <is>
          <t>SUP-0059</t>
        </is>
      </c>
      <c r="B60" s="85" t="inlineStr">
        <is>
          <t>EVT-2025-021</t>
        </is>
      </c>
      <c r="C60" s="86" t="inlineStr">
        <is>
          <t>Influximab KOL Meeting Copenhagen Jul 2025</t>
        </is>
      </c>
      <c r="D60" s="86" t="inlineStr">
        <is>
          <t>Prime Hospitality Group</t>
        </is>
      </c>
      <c r="E60" s="86" t="inlineStr">
        <is>
          <t>Hotel &amp; Venue</t>
        </is>
      </c>
      <c r="F60" s="85" t="inlineStr">
        <is>
          <t>Terminated</t>
        </is>
      </c>
      <c r="G60" s="85" t="inlineStr">
        <is>
          <t>PO-2025-1059</t>
        </is>
      </c>
      <c r="H60" s="85" t="inlineStr">
        <is>
          <t>INV-01059</t>
        </is>
      </c>
      <c r="I60" s="87" t="n">
        <v>7351.59</v>
      </c>
      <c r="J60" s="85" t="inlineStr">
        <is>
          <t>EUR</t>
        </is>
      </c>
      <c r="K60" s="88" t="inlineStr">
        <is>
          <t>Approved</t>
        </is>
      </c>
      <c r="L60" s="89" t="n">
        <v>45838</v>
      </c>
      <c r="M60" s="69" t="inlineStr">
        <is>
          <t>Low</t>
        </is>
      </c>
      <c r="N60" s="85" t="n">
        <v>60</v>
      </c>
      <c r="O60" s="90" t="n">
        <v>0</v>
      </c>
      <c r="P60" s="86" t="inlineStr"/>
      <c r="Q60" s="89" t="n">
        <v>46186</v>
      </c>
    </row>
    <row r="61" ht="18" customHeight="1">
      <c r="A61" s="84" t="inlineStr">
        <is>
          <t>SUP-0060</t>
        </is>
      </c>
      <c r="B61" s="71" t="inlineStr">
        <is>
          <t>EVT-2025-021</t>
        </is>
      </c>
      <c r="C61" s="70" t="inlineStr">
        <is>
          <t>Influximab KOL Meeting Copenhagen Jul 2025</t>
        </is>
      </c>
      <c r="D61" s="70" t="inlineStr">
        <is>
          <t>MedAudio AV Solutions</t>
        </is>
      </c>
      <c r="E61" s="70" t="inlineStr">
        <is>
          <t>AV &amp; Technology</t>
        </is>
      </c>
      <c r="F61" s="71" t="inlineStr">
        <is>
          <t>RFP Sent</t>
        </is>
      </c>
      <c r="G61" s="71" t="inlineStr">
        <is>
          <t>PO-2025-1060</t>
        </is>
      </c>
      <c r="H61" s="71" t="inlineStr">
        <is>
          <t>INV-01060</t>
        </is>
      </c>
      <c r="I61" s="73" t="n">
        <v>27627.65</v>
      </c>
      <c r="J61" s="71" t="inlineStr">
        <is>
          <t>EUR</t>
        </is>
      </c>
      <c r="K61" s="93" t="inlineStr">
        <is>
          <t>Overdue</t>
        </is>
      </c>
      <c r="L61" s="72" t="n">
        <v>45851</v>
      </c>
      <c r="M61" s="76" t="inlineStr">
        <is>
          <t>Medium</t>
        </is>
      </c>
      <c r="N61" s="71" t="n">
        <v>60</v>
      </c>
      <c r="O61" s="94" t="n">
        <v>346</v>
      </c>
      <c r="P61" s="70" t="inlineStr"/>
      <c r="Q61" s="72" t="n">
        <v>46180</v>
      </c>
    </row>
    <row r="62" ht="18" customHeight="1">
      <c r="A62" s="84" t="inlineStr">
        <is>
          <t>SUP-0061</t>
        </is>
      </c>
      <c r="B62" s="85" t="inlineStr">
        <is>
          <t>EVT-2025-021</t>
        </is>
      </c>
      <c r="C62" s="86" t="inlineStr">
        <is>
          <t>Influximab KOL Meeting Copenhagen Jul 2025</t>
        </is>
      </c>
      <c r="D62" s="86" t="inlineStr">
        <is>
          <t>Venue Masters EMEA</t>
        </is>
      </c>
      <c r="E62" s="86" t="inlineStr">
        <is>
          <t>Venue Sourcing</t>
        </is>
      </c>
      <c r="F62" s="85" t="inlineStr">
        <is>
          <t>Negotiating</t>
        </is>
      </c>
      <c r="G62" s="85" t="inlineStr">
        <is>
          <t>PO-2025-1061</t>
        </is>
      </c>
      <c r="H62" s="85" t="inlineStr"/>
      <c r="I62" s="87" t="n">
        <v>78754.19</v>
      </c>
      <c r="J62" s="85" t="inlineStr">
        <is>
          <t>EUR</t>
        </is>
      </c>
      <c r="K62" s="92" t="inlineStr">
        <is>
          <t>Cancelled</t>
        </is>
      </c>
      <c r="L62" s="89" t="n">
        <v>45851</v>
      </c>
      <c r="M62" s="69" t="inlineStr">
        <is>
          <t>Low</t>
        </is>
      </c>
      <c r="N62" s="85" t="n">
        <v>60</v>
      </c>
      <c r="O62" s="90" t="n">
        <v>0</v>
      </c>
      <c r="P62" s="86" t="inlineStr"/>
      <c r="Q62" s="89" t="n">
        <v>46175</v>
      </c>
    </row>
    <row r="63" ht="18" customHeight="1">
      <c r="A63" s="84" t="inlineStr">
        <is>
          <t>SUP-0062</t>
        </is>
      </c>
      <c r="B63" s="71" t="inlineStr">
        <is>
          <t>EVT-2025-022</t>
        </is>
      </c>
      <c r="C63" s="70" t="inlineStr">
        <is>
          <t>Imunexal Advisory Board Stockholm Jan 2025</t>
        </is>
      </c>
      <c r="D63" s="70" t="inlineStr">
        <is>
          <t>Compliance Expert Ltd</t>
        </is>
      </c>
      <c r="E63" s="70" t="inlineStr">
        <is>
          <t>Compliance &amp; Legal</t>
        </is>
      </c>
      <c r="F63" s="71" t="inlineStr">
        <is>
          <t>Active</t>
        </is>
      </c>
      <c r="G63" s="71" t="inlineStr">
        <is>
          <t>PO-2025-1062</t>
        </is>
      </c>
      <c r="H63" s="71" t="inlineStr">
        <is>
          <t>INV-01062</t>
        </is>
      </c>
      <c r="I63" s="73" t="n">
        <v>12280.65</v>
      </c>
      <c r="J63" s="71" t="inlineStr">
        <is>
          <t>EUR</t>
        </is>
      </c>
      <c r="K63" s="88" t="inlineStr">
        <is>
          <t>Approved</t>
        </is>
      </c>
      <c r="L63" s="72" t="n">
        <v>45650</v>
      </c>
      <c r="M63" s="76" t="inlineStr">
        <is>
          <t>Medium</t>
        </is>
      </c>
      <c r="N63" s="71" t="n">
        <v>30</v>
      </c>
      <c r="O63" s="91" t="n">
        <v>0</v>
      </c>
      <c r="P63" s="70" t="inlineStr"/>
      <c r="Q63" s="72" t="n">
        <v>46196</v>
      </c>
    </row>
    <row r="64" ht="18" customHeight="1">
      <c r="A64" s="84" t="inlineStr">
        <is>
          <t>SUP-0063</t>
        </is>
      </c>
      <c r="B64" s="85" t="inlineStr">
        <is>
          <t>EVT-2025-023</t>
        </is>
      </c>
      <c r="C64" s="86" t="inlineStr">
        <is>
          <t>Nexolimab Advisory Board Barcelona Jun 2025</t>
        </is>
      </c>
      <c r="D64" s="86" t="inlineStr">
        <is>
          <t>AVIAWORLD Travel</t>
        </is>
      </c>
      <c r="E64" s="86" t="inlineStr">
        <is>
          <t>Travel &amp; Air</t>
        </is>
      </c>
      <c r="F64" s="85" t="inlineStr">
        <is>
          <t>Signed</t>
        </is>
      </c>
      <c r="G64" s="85" t="inlineStr">
        <is>
          <t>PO-2025-1063</t>
        </is>
      </c>
      <c r="H64" s="85" t="inlineStr"/>
      <c r="I64" s="87" t="n">
        <v>59854.01</v>
      </c>
      <c r="J64" s="85" t="inlineStr">
        <is>
          <t>EUR</t>
        </is>
      </c>
      <c r="K64" s="96" t="inlineStr">
        <is>
          <t>Pending</t>
        </is>
      </c>
      <c r="L64" s="89" t="n">
        <v>45804</v>
      </c>
      <c r="M64" s="69" t="inlineStr">
        <is>
          <t>Low</t>
        </is>
      </c>
      <c r="N64" s="85" t="n">
        <v>45</v>
      </c>
      <c r="O64" s="90" t="n">
        <v>0</v>
      </c>
      <c r="P64" s="86" t="inlineStr"/>
      <c r="Q64" s="89" t="n">
        <v>46182</v>
      </c>
    </row>
    <row r="65" ht="18" customHeight="1">
      <c r="A65" s="84" t="inlineStr">
        <is>
          <t>SUP-0064</t>
        </is>
      </c>
      <c r="B65" s="71" t="inlineStr">
        <is>
          <t>EVT-2025-023</t>
        </is>
      </c>
      <c r="C65" s="70" t="inlineStr">
        <is>
          <t>Nexolimab Advisory Board Barcelona Jun 2025</t>
        </is>
      </c>
      <c r="D65" s="70" t="inlineStr">
        <is>
          <t>MedAudio AV Solutions</t>
        </is>
      </c>
      <c r="E65" s="70" t="inlineStr">
        <is>
          <t>AV &amp; Technology</t>
        </is>
      </c>
      <c r="F65" s="71" t="inlineStr">
        <is>
          <t>Negotiating</t>
        </is>
      </c>
      <c r="G65" s="71" t="inlineStr">
        <is>
          <t>PO-2025-1064</t>
        </is>
      </c>
      <c r="H65" s="71" t="inlineStr">
        <is>
          <t>INV-01064</t>
        </is>
      </c>
      <c r="I65" s="73" t="n">
        <v>30239.04</v>
      </c>
      <c r="J65" s="71" t="inlineStr">
        <is>
          <t>EUR</t>
        </is>
      </c>
      <c r="K65" s="93" t="inlineStr">
        <is>
          <t>Overdue</t>
        </is>
      </c>
      <c r="L65" s="72" t="n">
        <v>45802</v>
      </c>
      <c r="M65" s="69" t="inlineStr">
        <is>
          <t>Low</t>
        </is>
      </c>
      <c r="N65" s="71" t="n">
        <v>45</v>
      </c>
      <c r="O65" s="94" t="n">
        <v>395</v>
      </c>
      <c r="P65" s="70" t="inlineStr"/>
      <c r="Q65" s="72" t="n">
        <v>46171</v>
      </c>
    </row>
    <row r="66" ht="18" customHeight="1">
      <c r="A66" s="84" t="inlineStr">
        <is>
          <t>SUP-0065</t>
        </is>
      </c>
      <c r="B66" s="85" t="inlineStr">
        <is>
          <t>EVT-2025-023</t>
        </is>
      </c>
      <c r="C66" s="86" t="inlineStr">
        <is>
          <t>Nexolimab Advisory Board Barcelona Jun 2025</t>
        </is>
      </c>
      <c r="D66" s="86" t="inlineStr">
        <is>
          <t>Catering Excellence</t>
        </is>
      </c>
      <c r="E66" s="86" t="inlineStr">
        <is>
          <t>F&amp;B / Catering</t>
        </is>
      </c>
      <c r="F66" s="85" t="inlineStr">
        <is>
          <t>Closed</t>
        </is>
      </c>
      <c r="G66" s="85" t="inlineStr">
        <is>
          <t>PO-2025-1065</t>
        </is>
      </c>
      <c r="H66" s="85" t="inlineStr">
        <is>
          <t>INV-01065</t>
        </is>
      </c>
      <c r="I66" s="87" t="n">
        <v>5382.47</v>
      </c>
      <c r="J66" s="85" t="inlineStr">
        <is>
          <t>EUR</t>
        </is>
      </c>
      <c r="K66" s="69" t="inlineStr">
        <is>
          <t>Paid</t>
        </is>
      </c>
      <c r="L66" s="89" t="n">
        <v>45799</v>
      </c>
      <c r="M66" s="69" t="inlineStr">
        <is>
          <t>Low</t>
        </is>
      </c>
      <c r="N66" s="85" t="n">
        <v>90</v>
      </c>
      <c r="O66" s="90" t="n">
        <v>0</v>
      </c>
      <c r="P66" s="86" t="inlineStr"/>
      <c r="Q66" s="89" t="n">
        <v>46194</v>
      </c>
    </row>
    <row r="67" ht="18" customHeight="1">
      <c r="A67" s="84" t="inlineStr">
        <is>
          <t>SUP-0066</t>
        </is>
      </c>
      <c r="B67" s="71" t="inlineStr">
        <is>
          <t>EVT-2025-024</t>
        </is>
      </c>
      <c r="C67" s="70" t="inlineStr">
        <is>
          <t>Influximab Speaker Program Dublin Oct 2025</t>
        </is>
      </c>
      <c r="D67" s="70" t="inlineStr">
        <is>
          <t>AVIAWORLD Travel</t>
        </is>
      </c>
      <c r="E67" s="70" t="inlineStr">
        <is>
          <t>Travel &amp; Air</t>
        </is>
      </c>
      <c r="F67" s="71" t="inlineStr">
        <is>
          <t>Closed</t>
        </is>
      </c>
      <c r="G67" s="71" t="inlineStr">
        <is>
          <t>PO-2025-1066</t>
        </is>
      </c>
      <c r="H67" s="71" t="inlineStr">
        <is>
          <t>INV-01066</t>
        </is>
      </c>
      <c r="I67" s="73" t="n">
        <v>68089.28999999999</v>
      </c>
      <c r="J67" s="71" t="inlineStr">
        <is>
          <t>EUR</t>
        </is>
      </c>
      <c r="K67" s="69" t="inlineStr">
        <is>
          <t>Paid</t>
        </is>
      </c>
      <c r="L67" s="72" t="n">
        <v>45933</v>
      </c>
      <c r="M67" s="76" t="inlineStr">
        <is>
          <t>Medium</t>
        </is>
      </c>
      <c r="N67" s="71" t="n">
        <v>60</v>
      </c>
      <c r="O67" s="91" t="n">
        <v>0</v>
      </c>
      <c r="P67" s="70" t="inlineStr"/>
      <c r="Q67" s="72" t="n">
        <v>46178</v>
      </c>
    </row>
    <row r="68" ht="18" customHeight="1">
      <c r="A68" s="84" t="inlineStr">
        <is>
          <t>SUP-0067</t>
        </is>
      </c>
      <c r="B68" s="85" t="inlineStr">
        <is>
          <t>EVT-2025-025</t>
        </is>
      </c>
      <c r="C68" s="86" t="inlineStr">
        <is>
          <t>Imunexal Advisory Board Athens Jul 2025</t>
        </is>
      </c>
      <c r="D68" s="86" t="inlineStr">
        <is>
          <t>InterCongress PCO</t>
        </is>
      </c>
      <c r="E68" s="86" t="inlineStr">
        <is>
          <t>PCO / Event Agency</t>
        </is>
      </c>
      <c r="F68" s="85" t="inlineStr">
        <is>
          <t>Closed</t>
        </is>
      </c>
      <c r="G68" s="85" t="inlineStr">
        <is>
          <t>PO-2025-1067</t>
        </is>
      </c>
      <c r="H68" s="85" t="inlineStr"/>
      <c r="I68" s="87" t="n">
        <v>11842.94</v>
      </c>
      <c r="J68" s="85" t="inlineStr">
        <is>
          <t>EUR</t>
        </is>
      </c>
      <c r="K68" s="93" t="inlineStr">
        <is>
          <t>Overdue</t>
        </is>
      </c>
      <c r="L68" s="89" t="n">
        <v>45813</v>
      </c>
      <c r="M68" s="76" t="inlineStr">
        <is>
          <t>Medium</t>
        </is>
      </c>
      <c r="N68" s="85" t="n">
        <v>45</v>
      </c>
      <c r="O68" s="94" t="n">
        <v>384</v>
      </c>
      <c r="P68" s="86" t="inlineStr"/>
      <c r="Q68" s="89" t="n">
        <v>46191</v>
      </c>
    </row>
    <row r="69" ht="18" customHeight="1">
      <c r="A69" s="84" t="inlineStr">
        <is>
          <t>SUP-0068</t>
        </is>
      </c>
      <c r="B69" s="71" t="inlineStr">
        <is>
          <t>EVT-2025-025</t>
        </is>
      </c>
      <c r="C69" s="70" t="inlineStr">
        <is>
          <t>Imunexal Advisory Board Athens Jul 2025</t>
        </is>
      </c>
      <c r="D69" s="70" t="inlineStr">
        <is>
          <t>HealthMarketing Group</t>
        </is>
      </c>
      <c r="E69" s="70" t="inlineStr">
        <is>
          <t>Marketing Agency</t>
        </is>
      </c>
      <c r="F69" s="71" t="inlineStr">
        <is>
          <t>Active</t>
        </is>
      </c>
      <c r="G69" s="71" t="inlineStr">
        <is>
          <t>PO-2025-1068</t>
        </is>
      </c>
      <c r="H69" s="71" t="inlineStr">
        <is>
          <t>INV-01068</t>
        </is>
      </c>
      <c r="I69" s="73" t="n">
        <v>79580.96000000001</v>
      </c>
      <c r="J69" s="71" t="inlineStr">
        <is>
          <t>EUR</t>
        </is>
      </c>
      <c r="K69" s="93" t="inlineStr">
        <is>
          <t>Overdue</t>
        </is>
      </c>
      <c r="L69" s="72" t="n">
        <v>45816</v>
      </c>
      <c r="M69" s="69" t="inlineStr">
        <is>
          <t>Low</t>
        </is>
      </c>
      <c r="N69" s="71" t="n">
        <v>30</v>
      </c>
      <c r="O69" s="94" t="n">
        <v>381</v>
      </c>
      <c r="P69" s="70" t="inlineStr"/>
      <c r="Q69" s="72" t="n">
        <v>46168</v>
      </c>
    </row>
    <row r="70" ht="18" customHeight="1">
      <c r="A70" s="84" t="inlineStr">
        <is>
          <t>SUP-0069</t>
        </is>
      </c>
      <c r="B70" s="85" t="inlineStr">
        <is>
          <t>EVT-2025-025</t>
        </is>
      </c>
      <c r="C70" s="86" t="inlineStr">
        <is>
          <t>Imunexal Advisory Board Athens Jul 2025</t>
        </is>
      </c>
      <c r="D70" s="86" t="inlineStr">
        <is>
          <t>PharmaLogix</t>
        </is>
      </c>
      <c r="E70" s="86" t="inlineStr">
        <is>
          <t>Logistics &amp; Transport</t>
        </is>
      </c>
      <c r="F70" s="85" t="inlineStr">
        <is>
          <t>Terminated</t>
        </is>
      </c>
      <c r="G70" s="85" t="inlineStr">
        <is>
          <t>PO-2025-1069</t>
        </is>
      </c>
      <c r="H70" s="85" t="inlineStr">
        <is>
          <t>INV-01069</t>
        </is>
      </c>
      <c r="I70" s="87" t="n">
        <v>63861.5</v>
      </c>
      <c r="J70" s="85" t="inlineStr">
        <is>
          <t>EUR</t>
        </is>
      </c>
      <c r="K70" s="76" t="inlineStr">
        <is>
          <t>Disputed</t>
        </is>
      </c>
      <c r="L70" s="89" t="n">
        <v>45829</v>
      </c>
      <c r="M70" s="76" t="inlineStr">
        <is>
          <t>Medium</t>
        </is>
      </c>
      <c r="N70" s="85" t="n">
        <v>90</v>
      </c>
      <c r="O70" s="90" t="n">
        <v>0</v>
      </c>
      <c r="P70" s="86" t="inlineStr"/>
      <c r="Q70" s="89" t="n">
        <v>46191</v>
      </c>
    </row>
    <row r="71" ht="18" customHeight="1">
      <c r="A71" s="84" t="inlineStr">
        <is>
          <t>SUP-0070</t>
        </is>
      </c>
      <c r="B71" s="71" t="inlineStr">
        <is>
          <t>EVT-2025-025</t>
        </is>
      </c>
      <c r="C71" s="70" t="inlineStr">
        <is>
          <t>Imunexal Advisory Board Athens Jul 2025</t>
        </is>
      </c>
      <c r="D71" s="70" t="inlineStr">
        <is>
          <t>DigitalPharma Studio</t>
        </is>
      </c>
      <c r="E71" s="70" t="inlineStr">
        <is>
          <t>Digital &amp; Web</t>
        </is>
      </c>
      <c r="F71" s="71" t="inlineStr">
        <is>
          <t>Signed</t>
        </is>
      </c>
      <c r="G71" s="71" t="inlineStr">
        <is>
          <t>PO-2025-1070</t>
        </is>
      </c>
      <c r="H71" s="71" t="inlineStr">
        <is>
          <t>INV-01070</t>
        </is>
      </c>
      <c r="I71" s="73" t="n">
        <v>69508.39999999999</v>
      </c>
      <c r="J71" s="71" t="inlineStr">
        <is>
          <t>EUR</t>
        </is>
      </c>
      <c r="K71" s="88" t="inlineStr">
        <is>
          <t>Approved</t>
        </is>
      </c>
      <c r="L71" s="72" t="n">
        <v>45819</v>
      </c>
      <c r="M71" s="69" t="inlineStr">
        <is>
          <t>Low</t>
        </is>
      </c>
      <c r="N71" s="71" t="n">
        <v>90</v>
      </c>
      <c r="O71" s="91" t="n">
        <v>0</v>
      </c>
      <c r="P71" s="70" t="inlineStr"/>
      <c r="Q71" s="72" t="n">
        <v>46171</v>
      </c>
    </row>
    <row r="72" ht="18" customHeight="1">
      <c r="A72" s="84" t="inlineStr">
        <is>
          <t>SUP-0071</t>
        </is>
      </c>
      <c r="B72" s="85" t="inlineStr">
        <is>
          <t>EVT-2025-026</t>
        </is>
      </c>
      <c r="C72" s="86" t="inlineStr">
        <is>
          <t>Cordavex Investigator Meeting Stockholm Feb 2025</t>
        </is>
      </c>
      <c r="D72" s="86" t="inlineStr">
        <is>
          <t>TechEvent Systems</t>
        </is>
      </c>
      <c r="E72" s="86" t="inlineStr">
        <is>
          <t>Registration &amp; Tech</t>
        </is>
      </c>
      <c r="F72" s="85" t="inlineStr">
        <is>
          <t>Contract Sent</t>
        </is>
      </c>
      <c r="G72" s="85" t="inlineStr">
        <is>
          <t>PO-2025-1071</t>
        </is>
      </c>
      <c r="H72" s="85" t="inlineStr">
        <is>
          <t>INV-01071</t>
        </is>
      </c>
      <c r="I72" s="87" t="n">
        <v>9416.700000000001</v>
      </c>
      <c r="J72" s="85" t="inlineStr">
        <is>
          <t>EUR</t>
        </is>
      </c>
      <c r="K72" s="95" t="inlineStr">
        <is>
          <t>Invoiced</t>
        </is>
      </c>
      <c r="L72" s="89" t="n">
        <v>45693</v>
      </c>
      <c r="M72" s="69" t="inlineStr">
        <is>
          <t>Low</t>
        </is>
      </c>
      <c r="N72" s="85" t="n">
        <v>45</v>
      </c>
      <c r="O72" s="90" t="n">
        <v>0</v>
      </c>
      <c r="P72" s="86" t="inlineStr"/>
      <c r="Q72" s="89" t="n">
        <v>46175</v>
      </c>
    </row>
    <row r="73" ht="18" customHeight="1">
      <c r="A73" s="84" t="inlineStr">
        <is>
          <t>SUP-0072</t>
        </is>
      </c>
      <c r="B73" s="71" t="inlineStr">
        <is>
          <t>EVT-2025-026</t>
        </is>
      </c>
      <c r="C73" s="70" t="inlineStr">
        <is>
          <t>Cordavex Investigator Meeting Stockholm Feb 2025</t>
        </is>
      </c>
      <c r="D73" s="70" t="inlineStr">
        <is>
          <t>Translingua Pro</t>
        </is>
      </c>
      <c r="E73" s="70" t="inlineStr">
        <is>
          <t>Translation &amp; Interpretation</t>
        </is>
      </c>
      <c r="F73" s="71" t="inlineStr">
        <is>
          <t>RFP Sent</t>
        </is>
      </c>
      <c r="G73" s="71" t="inlineStr">
        <is>
          <t>PO-2025-1072</t>
        </is>
      </c>
      <c r="H73" s="71" t="inlineStr">
        <is>
          <t>INV-01072</t>
        </is>
      </c>
      <c r="I73" s="73" t="n">
        <v>55572.04</v>
      </c>
      <c r="J73" s="71" t="inlineStr">
        <is>
          <t>EUR</t>
        </is>
      </c>
      <c r="K73" s="92" t="inlineStr">
        <is>
          <t>Cancelled</t>
        </is>
      </c>
      <c r="L73" s="72" t="n">
        <v>45691</v>
      </c>
      <c r="M73" s="69" t="inlineStr">
        <is>
          <t>Low</t>
        </is>
      </c>
      <c r="N73" s="71" t="n">
        <v>60</v>
      </c>
      <c r="O73" s="91" t="n">
        <v>0</v>
      </c>
      <c r="P73" s="70" t="inlineStr"/>
      <c r="Q73" s="72" t="n">
        <v>46194</v>
      </c>
    </row>
    <row r="74" ht="18" customHeight="1">
      <c r="A74" s="84" t="inlineStr">
        <is>
          <t>SUP-0073</t>
        </is>
      </c>
      <c r="B74" s="85" t="inlineStr">
        <is>
          <t>EVT-2025-026</t>
        </is>
      </c>
      <c r="C74" s="86" t="inlineStr">
        <is>
          <t>Cordavex Investigator Meeting Stockholm Feb 2025</t>
        </is>
      </c>
      <c r="D74" s="86" t="inlineStr">
        <is>
          <t>MedComm Agency</t>
        </is>
      </c>
      <c r="E74" s="86" t="inlineStr">
        <is>
          <t>Medical Communication</t>
        </is>
      </c>
      <c r="F74" s="85" t="inlineStr">
        <is>
          <t>Active</t>
        </is>
      </c>
      <c r="G74" s="85" t="inlineStr">
        <is>
          <t>PO-2025-1073</t>
        </is>
      </c>
      <c r="H74" s="85" t="inlineStr"/>
      <c r="I74" s="87" t="n">
        <v>9532.030000000001</v>
      </c>
      <c r="J74" s="85" t="inlineStr">
        <is>
          <t>EUR</t>
        </is>
      </c>
      <c r="K74" s="88" t="inlineStr">
        <is>
          <t>Approved</t>
        </is>
      </c>
      <c r="L74" s="89" t="n">
        <v>45683</v>
      </c>
      <c r="M74" s="69" t="inlineStr">
        <is>
          <t>Low</t>
        </is>
      </c>
      <c r="N74" s="85" t="n">
        <v>90</v>
      </c>
      <c r="O74" s="90" t="n">
        <v>0</v>
      </c>
      <c r="P74" s="86" t="inlineStr"/>
      <c r="Q74" s="89" t="n">
        <v>46196</v>
      </c>
    </row>
    <row r="75" ht="18" customHeight="1">
      <c r="A75" s="84" t="inlineStr">
        <is>
          <t>SUP-0074</t>
        </is>
      </c>
      <c r="B75" s="71" t="inlineStr">
        <is>
          <t>EVT-2025-027</t>
        </is>
      </c>
      <c r="C75" s="70" t="inlineStr">
        <is>
          <t>Hemaflex Internal Meeting Warsaw May 2025</t>
        </is>
      </c>
      <c r="D75" s="70" t="inlineStr">
        <is>
          <t>DigitalPharma Studio</t>
        </is>
      </c>
      <c r="E75" s="70" t="inlineStr">
        <is>
          <t>Digital &amp; Web</t>
        </is>
      </c>
      <c r="F75" s="71" t="inlineStr">
        <is>
          <t>Terminated</t>
        </is>
      </c>
      <c r="G75" s="71" t="inlineStr">
        <is>
          <t>PO-2025-1074</t>
        </is>
      </c>
      <c r="H75" s="71" t="inlineStr">
        <is>
          <t>INV-01074</t>
        </is>
      </c>
      <c r="I75" s="73" t="n">
        <v>45811.3</v>
      </c>
      <c r="J75" s="71" t="inlineStr">
        <is>
          <t>EUR</t>
        </is>
      </c>
      <c r="K75" s="95" t="inlineStr">
        <is>
          <t>Invoiced</t>
        </is>
      </c>
      <c r="L75" s="72" t="n">
        <v>45757</v>
      </c>
      <c r="M75" s="69" t="inlineStr">
        <is>
          <t>Low</t>
        </is>
      </c>
      <c r="N75" s="71" t="n">
        <v>30</v>
      </c>
      <c r="O75" s="91" t="n">
        <v>0</v>
      </c>
      <c r="P75" s="70" t="inlineStr"/>
      <c r="Q75" s="72" t="n">
        <v>46173</v>
      </c>
    </row>
    <row r="76" ht="18" customHeight="1">
      <c r="A76" s="84" t="inlineStr">
        <is>
          <t>SUP-0075</t>
        </is>
      </c>
      <c r="B76" s="85" t="inlineStr">
        <is>
          <t>EVT-2025-028</t>
        </is>
      </c>
      <c r="C76" s="86" t="inlineStr">
        <is>
          <t>Nexolimab KOL Meeting Milan Jul 2025</t>
        </is>
      </c>
      <c r="D76" s="86" t="inlineStr">
        <is>
          <t>TechEvent Systems</t>
        </is>
      </c>
      <c r="E76" s="86" t="inlineStr">
        <is>
          <t>Registration &amp; Tech</t>
        </is>
      </c>
      <c r="F76" s="85" t="inlineStr">
        <is>
          <t>Closed</t>
        </is>
      </c>
      <c r="G76" s="85" t="inlineStr">
        <is>
          <t>PO-2025-1075</t>
        </is>
      </c>
      <c r="H76" s="85" t="inlineStr">
        <is>
          <t>INV-01075</t>
        </is>
      </c>
      <c r="I76" s="87" t="n">
        <v>29428.4</v>
      </c>
      <c r="J76" s="85" t="inlineStr">
        <is>
          <t>EUR</t>
        </is>
      </c>
      <c r="K76" s="88" t="inlineStr">
        <is>
          <t>Approved</t>
        </is>
      </c>
      <c r="L76" s="89" t="n">
        <v>45841</v>
      </c>
      <c r="M76" s="69" t="inlineStr">
        <is>
          <t>Low</t>
        </is>
      </c>
      <c r="N76" s="85" t="n">
        <v>90</v>
      </c>
      <c r="O76" s="90" t="n">
        <v>0</v>
      </c>
      <c r="P76" s="86" t="inlineStr"/>
      <c r="Q76" s="89" t="n">
        <v>46183</v>
      </c>
    </row>
    <row r="77" ht="18" customHeight="1">
      <c r="A77" s="84" t="inlineStr">
        <is>
          <t>SUP-0076</t>
        </is>
      </c>
      <c r="B77" s="71" t="inlineStr">
        <is>
          <t>EVT-2025-028</t>
        </is>
      </c>
      <c r="C77" s="70" t="inlineStr">
        <is>
          <t>Nexolimab KOL Meeting Milan Jul 2025</t>
        </is>
      </c>
      <c r="D77" s="70" t="inlineStr">
        <is>
          <t>KOL Connect</t>
        </is>
      </c>
      <c r="E77" s="70" t="inlineStr">
        <is>
          <t>Speaker Management</t>
        </is>
      </c>
      <c r="F77" s="71" t="inlineStr">
        <is>
          <t>RFP Sent</t>
        </is>
      </c>
      <c r="G77" s="71" t="inlineStr">
        <is>
          <t>PO-2025-1076</t>
        </is>
      </c>
      <c r="H77" s="71" t="inlineStr">
        <is>
          <t>INV-01076</t>
        </is>
      </c>
      <c r="I77" s="73" t="n">
        <v>68087.44</v>
      </c>
      <c r="J77" s="71" t="inlineStr">
        <is>
          <t>EUR</t>
        </is>
      </c>
      <c r="K77" s="95" t="inlineStr">
        <is>
          <t>Invoiced</t>
        </is>
      </c>
      <c r="L77" s="72" t="n">
        <v>45848</v>
      </c>
      <c r="M77" s="76" t="inlineStr">
        <is>
          <t>Medium</t>
        </is>
      </c>
      <c r="N77" s="71" t="n">
        <v>45</v>
      </c>
      <c r="O77" s="91" t="n">
        <v>0</v>
      </c>
      <c r="P77" s="70" t="inlineStr"/>
      <c r="Q77" s="72" t="n">
        <v>46167</v>
      </c>
    </row>
    <row r="78" ht="18" customHeight="1">
      <c r="A78" s="84" t="inlineStr">
        <is>
          <t>SUP-0077</t>
        </is>
      </c>
      <c r="B78" s="85" t="inlineStr">
        <is>
          <t>EVT-2025-028</t>
        </is>
      </c>
      <c r="C78" s="86" t="inlineStr">
        <is>
          <t>Nexolimab KOL Meeting Milan Jul 2025</t>
        </is>
      </c>
      <c r="D78" s="86" t="inlineStr">
        <is>
          <t>AVIAWORLD Travel</t>
        </is>
      </c>
      <c r="E78" s="86" t="inlineStr">
        <is>
          <t>Travel &amp; Air</t>
        </is>
      </c>
      <c r="F78" s="85" t="inlineStr">
        <is>
          <t>Terminated</t>
        </is>
      </c>
      <c r="G78" s="85" t="inlineStr">
        <is>
          <t>PO-2025-1077</t>
        </is>
      </c>
      <c r="H78" s="85" t="inlineStr">
        <is>
          <t>INV-01077</t>
        </is>
      </c>
      <c r="I78" s="87" t="n">
        <v>46779.8</v>
      </c>
      <c r="J78" s="85" t="inlineStr">
        <is>
          <t>EUR</t>
        </is>
      </c>
      <c r="K78" s="92" t="inlineStr">
        <is>
          <t>Cancelled</t>
        </is>
      </c>
      <c r="L78" s="89" t="n">
        <v>45846</v>
      </c>
      <c r="M78" s="76" t="inlineStr">
        <is>
          <t>Medium</t>
        </is>
      </c>
      <c r="N78" s="85" t="n">
        <v>90</v>
      </c>
      <c r="O78" s="90" t="n">
        <v>0</v>
      </c>
      <c r="P78" s="86" t="inlineStr"/>
      <c r="Q78" s="89" t="n">
        <v>46197</v>
      </c>
    </row>
    <row r="79" ht="18" customHeight="1">
      <c r="A79" s="84" t="inlineStr">
        <is>
          <t>SUP-0078</t>
        </is>
      </c>
      <c r="B79" s="71" t="inlineStr">
        <is>
          <t>EVT-2025-028</t>
        </is>
      </c>
      <c r="C79" s="70" t="inlineStr">
        <is>
          <t>Nexolimab KOL Meeting Milan Jul 2025</t>
        </is>
      </c>
      <c r="D79" s="70" t="inlineStr">
        <is>
          <t>Catering Excellence</t>
        </is>
      </c>
      <c r="E79" s="70" t="inlineStr">
        <is>
          <t>F&amp;B / Catering</t>
        </is>
      </c>
      <c r="F79" s="71" t="inlineStr">
        <is>
          <t>Terminated</t>
        </is>
      </c>
      <c r="G79" s="71" t="inlineStr">
        <is>
          <t>PO-2025-1078</t>
        </is>
      </c>
      <c r="H79" s="71" t="inlineStr">
        <is>
          <t>INV-01078</t>
        </is>
      </c>
      <c r="I79" s="73" t="n">
        <v>54648.18</v>
      </c>
      <c r="J79" s="71" t="inlineStr">
        <is>
          <t>EUR</t>
        </is>
      </c>
      <c r="K79" s="76" t="inlineStr">
        <is>
          <t>Disputed</t>
        </is>
      </c>
      <c r="L79" s="72" t="n">
        <v>45842</v>
      </c>
      <c r="M79" s="69" t="inlineStr">
        <is>
          <t>Low</t>
        </is>
      </c>
      <c r="N79" s="71" t="n">
        <v>30</v>
      </c>
      <c r="O79" s="91" t="n">
        <v>0</v>
      </c>
      <c r="P79" s="70" t="inlineStr"/>
      <c r="Q79" s="72" t="n">
        <v>46180</v>
      </c>
    </row>
    <row r="80" ht="18" customHeight="1">
      <c r="A80" s="84" t="inlineStr">
        <is>
          <t>SUP-0079</t>
        </is>
      </c>
      <c r="B80" s="85" t="inlineStr">
        <is>
          <t>EVT-2025-029</t>
        </is>
      </c>
      <c r="C80" s="86" t="inlineStr">
        <is>
          <t>Axotrin Congress Lisbon May 2025</t>
        </is>
      </c>
      <c r="D80" s="86" t="inlineStr">
        <is>
          <t>AVIAWORLD Travel</t>
        </is>
      </c>
      <c r="E80" s="86" t="inlineStr">
        <is>
          <t>Travel &amp; Air</t>
        </is>
      </c>
      <c r="F80" s="85" t="inlineStr">
        <is>
          <t>Terminated</t>
        </is>
      </c>
      <c r="G80" s="85" t="inlineStr">
        <is>
          <t>PO-2025-1079</t>
        </is>
      </c>
      <c r="H80" s="85" t="inlineStr">
        <is>
          <t>INV-01079</t>
        </is>
      </c>
      <c r="I80" s="87" t="n">
        <v>26100.81</v>
      </c>
      <c r="J80" s="85" t="inlineStr">
        <is>
          <t>EUR</t>
        </is>
      </c>
      <c r="K80" s="88" t="inlineStr">
        <is>
          <t>Approved</t>
        </is>
      </c>
      <c r="L80" s="89" t="n">
        <v>45776</v>
      </c>
      <c r="M80" s="69" t="inlineStr">
        <is>
          <t>Low</t>
        </is>
      </c>
      <c r="N80" s="85" t="n">
        <v>90</v>
      </c>
      <c r="O80" s="90" t="n">
        <v>0</v>
      </c>
      <c r="P80" s="86" t="inlineStr"/>
      <c r="Q80" s="89" t="n">
        <v>46171</v>
      </c>
    </row>
    <row r="81" ht="18" customHeight="1">
      <c r="A81" s="84" t="inlineStr">
        <is>
          <t>SUP-0080</t>
        </is>
      </c>
      <c r="B81" s="71" t="inlineStr">
        <is>
          <t>EVT-2025-029</t>
        </is>
      </c>
      <c r="C81" s="70" t="inlineStr">
        <is>
          <t>Axotrin Congress Lisbon May 2025</t>
        </is>
      </c>
      <c r="D81" s="70" t="inlineStr">
        <is>
          <t>MedAudio AV Solutions</t>
        </is>
      </c>
      <c r="E81" s="70" t="inlineStr">
        <is>
          <t>AV &amp; Technology</t>
        </is>
      </c>
      <c r="F81" s="71" t="inlineStr">
        <is>
          <t>RFP Sent</t>
        </is>
      </c>
      <c r="G81" s="71" t="inlineStr">
        <is>
          <t>PO-2025-1080</t>
        </is>
      </c>
      <c r="H81" s="71" t="inlineStr"/>
      <c r="I81" s="73" t="n">
        <v>53272.88</v>
      </c>
      <c r="J81" s="71" t="inlineStr">
        <is>
          <t>EUR</t>
        </is>
      </c>
      <c r="K81" s="76" t="inlineStr">
        <is>
          <t>Disputed</t>
        </is>
      </c>
      <c r="L81" s="72" t="n">
        <v>45784</v>
      </c>
      <c r="M81" s="69" t="inlineStr">
        <is>
          <t>Low</t>
        </is>
      </c>
      <c r="N81" s="71" t="n">
        <v>90</v>
      </c>
      <c r="O81" s="91" t="n">
        <v>0</v>
      </c>
      <c r="P81" s="70" t="inlineStr"/>
      <c r="Q81" s="72" t="n">
        <v>46168</v>
      </c>
    </row>
    <row r="82" ht="18" customHeight="1">
      <c r="A82" s="84" t="inlineStr">
        <is>
          <t>SUP-0081</t>
        </is>
      </c>
      <c r="B82" s="85" t="inlineStr">
        <is>
          <t>EVT-2025-029</t>
        </is>
      </c>
      <c r="C82" s="86" t="inlineStr">
        <is>
          <t>Axotrin Congress Lisbon May 2025</t>
        </is>
      </c>
      <c r="D82" s="86" t="inlineStr">
        <is>
          <t>Catering Excellence</t>
        </is>
      </c>
      <c r="E82" s="86" t="inlineStr">
        <is>
          <t>F&amp;B / Catering</t>
        </is>
      </c>
      <c r="F82" s="85" t="inlineStr">
        <is>
          <t>Negotiating</t>
        </is>
      </c>
      <c r="G82" s="85" t="inlineStr">
        <is>
          <t>PO-2025-1081</t>
        </is>
      </c>
      <c r="H82" s="85" t="inlineStr"/>
      <c r="I82" s="87" t="n">
        <v>43377.65</v>
      </c>
      <c r="J82" s="85" t="inlineStr">
        <is>
          <t>EUR</t>
        </is>
      </c>
      <c r="K82" s="95" t="inlineStr">
        <is>
          <t>Invoiced</t>
        </is>
      </c>
      <c r="L82" s="89" t="n">
        <v>45774</v>
      </c>
      <c r="M82" s="69" t="inlineStr">
        <is>
          <t>Low</t>
        </is>
      </c>
      <c r="N82" s="85" t="n">
        <v>45</v>
      </c>
      <c r="O82" s="90" t="n">
        <v>0</v>
      </c>
      <c r="P82" s="86" t="inlineStr"/>
      <c r="Q82" s="89" t="n">
        <v>46175</v>
      </c>
    </row>
    <row r="83" ht="18" customHeight="1">
      <c r="A83" s="84" t="inlineStr">
        <is>
          <t>SUP-0082</t>
        </is>
      </c>
      <c r="B83" s="71" t="inlineStr">
        <is>
          <t>EVT-2025-030</t>
        </is>
      </c>
      <c r="C83" s="70" t="inlineStr">
        <is>
          <t>Gastroven KOL Meeting Copenhagen Apr 2025</t>
        </is>
      </c>
      <c r="D83" s="70" t="inlineStr">
        <is>
          <t>Catering Excellence</t>
        </is>
      </c>
      <c r="E83" s="70" t="inlineStr">
        <is>
          <t>F&amp;B / Catering</t>
        </is>
      </c>
      <c r="F83" s="71" t="inlineStr">
        <is>
          <t>Negotiating</t>
        </is>
      </c>
      <c r="G83" s="71" t="inlineStr">
        <is>
          <t>PO-2025-1082</t>
        </is>
      </c>
      <c r="H83" s="71" t="inlineStr">
        <is>
          <t>INV-01082</t>
        </is>
      </c>
      <c r="I83" s="73" t="n">
        <v>46272.3</v>
      </c>
      <c r="J83" s="71" t="inlineStr">
        <is>
          <t>EUR</t>
        </is>
      </c>
      <c r="K83" s="88" t="inlineStr">
        <is>
          <t>Approved</t>
        </is>
      </c>
      <c r="L83" s="72" t="n">
        <v>45760</v>
      </c>
      <c r="M83" s="76" t="inlineStr">
        <is>
          <t>Medium</t>
        </is>
      </c>
      <c r="N83" s="71" t="n">
        <v>45</v>
      </c>
      <c r="O83" s="91" t="n">
        <v>0</v>
      </c>
      <c r="P83" s="70" t="inlineStr"/>
      <c r="Q83" s="72" t="n">
        <v>46174</v>
      </c>
    </row>
    <row r="84" ht="18" customHeight="1">
      <c r="A84" s="84" t="inlineStr">
        <is>
          <t>SUP-0083</t>
        </is>
      </c>
      <c r="B84" s="85" t="inlineStr">
        <is>
          <t>EVT-2025-030</t>
        </is>
      </c>
      <c r="C84" s="86" t="inlineStr">
        <is>
          <t>Gastroven KOL Meeting Copenhagen Apr 2025</t>
        </is>
      </c>
      <c r="D84" s="86" t="inlineStr">
        <is>
          <t>KOL Connect</t>
        </is>
      </c>
      <c r="E84" s="86" t="inlineStr">
        <is>
          <t>Speaker Management</t>
        </is>
      </c>
      <c r="F84" s="85" t="inlineStr">
        <is>
          <t>Signed</t>
        </is>
      </c>
      <c r="G84" s="85" t="inlineStr">
        <is>
          <t>PO-2025-1083</t>
        </is>
      </c>
      <c r="H84" s="85" t="inlineStr">
        <is>
          <t>INV-01083</t>
        </is>
      </c>
      <c r="I84" s="87" t="n">
        <v>5881.47</v>
      </c>
      <c r="J84" s="85" t="inlineStr">
        <is>
          <t>EUR</t>
        </is>
      </c>
      <c r="K84" s="76" t="inlineStr">
        <is>
          <t>Disputed</t>
        </is>
      </c>
      <c r="L84" s="89" t="n">
        <v>45760</v>
      </c>
      <c r="M84" s="69" t="inlineStr">
        <is>
          <t>Low</t>
        </is>
      </c>
      <c r="N84" s="85" t="n">
        <v>45</v>
      </c>
      <c r="O84" s="90" t="n">
        <v>0</v>
      </c>
      <c r="P84" s="86" t="inlineStr"/>
      <c r="Q84" s="89" t="n">
        <v>46194</v>
      </c>
    </row>
    <row r="85" ht="18" customHeight="1">
      <c r="A85" s="84" t="inlineStr">
        <is>
          <t>SUP-0084</t>
        </is>
      </c>
      <c r="B85" s="71" t="inlineStr">
        <is>
          <t>EVT-2025-030</t>
        </is>
      </c>
      <c r="C85" s="70" t="inlineStr">
        <is>
          <t>Gastroven KOL Meeting Copenhagen Apr 2025</t>
        </is>
      </c>
      <c r="D85" s="70" t="inlineStr">
        <is>
          <t>PharmaLogix</t>
        </is>
      </c>
      <c r="E85" s="70" t="inlineStr">
        <is>
          <t>Logistics &amp; Transport</t>
        </is>
      </c>
      <c r="F85" s="71" t="inlineStr">
        <is>
          <t>RFP Sent</t>
        </is>
      </c>
      <c r="G85" s="71" t="inlineStr">
        <is>
          <t>PO-2025-1084</t>
        </is>
      </c>
      <c r="H85" s="71" t="inlineStr">
        <is>
          <t>INV-01084</t>
        </is>
      </c>
      <c r="I85" s="73" t="n">
        <v>36479.45</v>
      </c>
      <c r="J85" s="71" t="inlineStr">
        <is>
          <t>EUR</t>
        </is>
      </c>
      <c r="K85" s="93" t="inlineStr">
        <is>
          <t>Overdue</t>
        </is>
      </c>
      <c r="L85" s="72" t="n">
        <v>45754</v>
      </c>
      <c r="M85" s="69" t="inlineStr">
        <is>
          <t>Low</t>
        </is>
      </c>
      <c r="N85" s="71" t="n">
        <v>90</v>
      </c>
      <c r="O85" s="94" t="n">
        <v>443</v>
      </c>
      <c r="P85" s="70" t="inlineStr"/>
      <c r="Q85" s="72" t="n">
        <v>46176</v>
      </c>
    </row>
    <row r="86" ht="18" customHeight="1">
      <c r="A86" s="84" t="inlineStr">
        <is>
          <t>SUP-0085</t>
        </is>
      </c>
      <c r="B86" s="85" t="inlineStr">
        <is>
          <t>EVT-2025-031</t>
        </is>
      </c>
      <c r="C86" s="86" t="inlineStr">
        <is>
          <t>Antivex Congress Dublin Sep 2025</t>
        </is>
      </c>
      <c r="D86" s="86" t="inlineStr">
        <is>
          <t>MedComm Agency</t>
        </is>
      </c>
      <c r="E86" s="86" t="inlineStr">
        <is>
          <t>Medical Communication</t>
        </is>
      </c>
      <c r="F86" s="85" t="inlineStr">
        <is>
          <t>Negotiating</t>
        </is>
      </c>
      <c r="G86" s="85" t="inlineStr">
        <is>
          <t>PO-2025-1085</t>
        </is>
      </c>
      <c r="H86" s="85" t="inlineStr">
        <is>
          <t>INV-01085</t>
        </is>
      </c>
      <c r="I86" s="87" t="n">
        <v>48264.47</v>
      </c>
      <c r="J86" s="85" t="inlineStr">
        <is>
          <t>EUR</t>
        </is>
      </c>
      <c r="K86" s="96" t="inlineStr">
        <is>
          <t>Pending</t>
        </is>
      </c>
      <c r="L86" s="89" t="n">
        <v>45879</v>
      </c>
      <c r="M86" s="76" t="inlineStr">
        <is>
          <t>Medium</t>
        </is>
      </c>
      <c r="N86" s="85" t="n">
        <v>60</v>
      </c>
      <c r="O86" s="90" t="n">
        <v>0</v>
      </c>
      <c r="P86" s="86" t="inlineStr"/>
      <c r="Q86" s="89" t="n">
        <v>46181</v>
      </c>
    </row>
    <row r="87" ht="18" customHeight="1">
      <c r="A87" s="84" t="inlineStr">
        <is>
          <t>SUP-0086</t>
        </is>
      </c>
      <c r="B87" s="71" t="inlineStr">
        <is>
          <t>EVT-2025-031</t>
        </is>
      </c>
      <c r="C87" s="70" t="inlineStr">
        <is>
          <t>Antivex Congress Dublin Sep 2025</t>
        </is>
      </c>
      <c r="D87" s="70" t="inlineStr">
        <is>
          <t>InterCongress PCO</t>
        </is>
      </c>
      <c r="E87" s="70" t="inlineStr">
        <is>
          <t>PCO / Event Agency</t>
        </is>
      </c>
      <c r="F87" s="71" t="inlineStr">
        <is>
          <t>Terminated</t>
        </is>
      </c>
      <c r="G87" s="71" t="inlineStr">
        <is>
          <t>PO-2025-1086</t>
        </is>
      </c>
      <c r="H87" s="71" t="inlineStr">
        <is>
          <t>INV-01086</t>
        </is>
      </c>
      <c r="I87" s="73" t="n">
        <v>48747.35</v>
      </c>
      <c r="J87" s="71" t="inlineStr">
        <is>
          <t>EUR</t>
        </is>
      </c>
      <c r="K87" s="88" t="inlineStr">
        <is>
          <t>Approved</t>
        </is>
      </c>
      <c r="L87" s="72" t="n">
        <v>45895</v>
      </c>
      <c r="M87" s="69" t="inlineStr">
        <is>
          <t>Low</t>
        </is>
      </c>
      <c r="N87" s="71" t="n">
        <v>90</v>
      </c>
      <c r="O87" s="91" t="n">
        <v>0</v>
      </c>
      <c r="P87" s="70" t="inlineStr"/>
      <c r="Q87" s="72" t="n">
        <v>46184</v>
      </c>
    </row>
    <row r="88" ht="18" customHeight="1">
      <c r="A88" s="84" t="inlineStr">
        <is>
          <t>SUP-0087</t>
        </is>
      </c>
      <c r="B88" s="85" t="inlineStr">
        <is>
          <t>EVT-2025-031</t>
        </is>
      </c>
      <c r="C88" s="86" t="inlineStr">
        <is>
          <t>Antivex Congress Dublin Sep 2025</t>
        </is>
      </c>
      <c r="D88" s="86" t="inlineStr">
        <is>
          <t>Catering Excellence</t>
        </is>
      </c>
      <c r="E88" s="86" t="inlineStr">
        <is>
          <t>F&amp;B / Catering</t>
        </is>
      </c>
      <c r="F88" s="85" t="inlineStr">
        <is>
          <t>Closed</t>
        </is>
      </c>
      <c r="G88" s="85" t="inlineStr">
        <is>
          <t>PO-2025-1087</t>
        </is>
      </c>
      <c r="H88" s="85" t="inlineStr"/>
      <c r="I88" s="87" t="n">
        <v>21930.52</v>
      </c>
      <c r="J88" s="85" t="inlineStr">
        <is>
          <t>EUR</t>
        </is>
      </c>
      <c r="K88" s="69" t="inlineStr">
        <is>
          <t>Paid</t>
        </is>
      </c>
      <c r="L88" s="89" t="n">
        <v>45885</v>
      </c>
      <c r="M88" s="69" t="inlineStr">
        <is>
          <t>Low</t>
        </is>
      </c>
      <c r="N88" s="85" t="n">
        <v>45</v>
      </c>
      <c r="O88" s="90" t="n">
        <v>0</v>
      </c>
      <c r="P88" s="86" t="inlineStr"/>
      <c r="Q88" s="89" t="n">
        <v>46189</v>
      </c>
    </row>
    <row r="89" ht="18" customHeight="1">
      <c r="A89" s="84" t="inlineStr">
        <is>
          <t>SUP-0088</t>
        </is>
      </c>
      <c r="B89" s="71" t="inlineStr">
        <is>
          <t>EVT-2025-032</t>
        </is>
      </c>
      <c r="C89" s="70" t="inlineStr">
        <is>
          <t>Cordavex Advisory Board Helsinki Feb 2025</t>
        </is>
      </c>
      <c r="D89" s="70" t="inlineStr">
        <is>
          <t>MedAudio AV Solutions</t>
        </is>
      </c>
      <c r="E89" s="70" t="inlineStr">
        <is>
          <t>AV &amp; Technology</t>
        </is>
      </c>
      <c r="F89" s="71" t="inlineStr">
        <is>
          <t>Signed</t>
        </is>
      </c>
      <c r="G89" s="71" t="inlineStr">
        <is>
          <t>PO-2025-1088</t>
        </is>
      </c>
      <c r="H89" s="71" t="inlineStr">
        <is>
          <t>INV-01088</t>
        </is>
      </c>
      <c r="I89" s="73" t="n">
        <v>41020.46</v>
      </c>
      <c r="J89" s="71" t="inlineStr">
        <is>
          <t>EUR</t>
        </is>
      </c>
      <c r="K89" s="96" t="inlineStr">
        <is>
          <t>Pending</t>
        </is>
      </c>
      <c r="L89" s="72" t="n">
        <v>45664</v>
      </c>
      <c r="M89" s="76" t="inlineStr">
        <is>
          <t>Medium</t>
        </is>
      </c>
      <c r="N89" s="71" t="n">
        <v>90</v>
      </c>
      <c r="O89" s="91" t="n">
        <v>0</v>
      </c>
      <c r="P89" s="70" t="inlineStr"/>
      <c r="Q89" s="72" t="n">
        <v>46167</v>
      </c>
    </row>
    <row r="90" ht="18" customHeight="1">
      <c r="A90" s="84" t="inlineStr">
        <is>
          <t>SUP-0089</t>
        </is>
      </c>
      <c r="B90" s="85" t="inlineStr">
        <is>
          <t>EVT-2025-032</t>
        </is>
      </c>
      <c r="C90" s="86" t="inlineStr">
        <is>
          <t>Cordavex Advisory Board Helsinki Feb 2025</t>
        </is>
      </c>
      <c r="D90" s="86" t="inlineStr">
        <is>
          <t>HealthMarketing Group</t>
        </is>
      </c>
      <c r="E90" s="86" t="inlineStr">
        <is>
          <t>Marketing Agency</t>
        </is>
      </c>
      <c r="F90" s="85" t="inlineStr">
        <is>
          <t>Terminated</t>
        </is>
      </c>
      <c r="G90" s="85" t="inlineStr">
        <is>
          <t>PO-2025-1089</t>
        </is>
      </c>
      <c r="H90" s="85" t="inlineStr">
        <is>
          <t>INV-01089</t>
        </is>
      </c>
      <c r="I90" s="87" t="n">
        <v>5299.58</v>
      </c>
      <c r="J90" s="85" t="inlineStr">
        <is>
          <t>EUR</t>
        </is>
      </c>
      <c r="K90" s="96" t="inlineStr">
        <is>
          <t>Pending</t>
        </is>
      </c>
      <c r="L90" s="89" t="n">
        <v>45685</v>
      </c>
      <c r="M90" s="69" t="inlineStr">
        <is>
          <t>Low</t>
        </is>
      </c>
      <c r="N90" s="85" t="n">
        <v>60</v>
      </c>
      <c r="O90" s="90" t="n">
        <v>0</v>
      </c>
      <c r="P90" s="86" t="inlineStr"/>
      <c r="Q90" s="89" t="n">
        <v>46188</v>
      </c>
    </row>
    <row r="91" ht="18" customHeight="1">
      <c r="A91" s="84" t="inlineStr">
        <is>
          <t>SUP-0090</t>
        </is>
      </c>
      <c r="B91" s="71" t="inlineStr">
        <is>
          <t>EVT-2025-032</t>
        </is>
      </c>
      <c r="C91" s="70" t="inlineStr">
        <is>
          <t>Cordavex Advisory Board Helsinki Feb 2025</t>
        </is>
      </c>
      <c r="D91" s="70" t="inlineStr">
        <is>
          <t>MedComm Agency</t>
        </is>
      </c>
      <c r="E91" s="70" t="inlineStr">
        <is>
          <t>Medical Communication</t>
        </is>
      </c>
      <c r="F91" s="71" t="inlineStr">
        <is>
          <t>Contract Sent</t>
        </is>
      </c>
      <c r="G91" s="71" t="inlineStr">
        <is>
          <t>PO-2025-1090</t>
        </is>
      </c>
      <c r="H91" s="71" t="inlineStr">
        <is>
          <t>INV-01090</t>
        </is>
      </c>
      <c r="I91" s="73" t="n">
        <v>35484.17</v>
      </c>
      <c r="J91" s="71" t="inlineStr">
        <is>
          <t>EUR</t>
        </is>
      </c>
      <c r="K91" s="69" t="inlineStr">
        <is>
          <t>Paid</t>
        </is>
      </c>
      <c r="L91" s="72" t="n">
        <v>45673</v>
      </c>
      <c r="M91" s="76" t="inlineStr">
        <is>
          <t>Medium</t>
        </is>
      </c>
      <c r="N91" s="71" t="n">
        <v>90</v>
      </c>
      <c r="O91" s="91" t="n">
        <v>0</v>
      </c>
      <c r="P91" s="70" t="inlineStr"/>
      <c r="Q91" s="72" t="n">
        <v>46172</v>
      </c>
    </row>
    <row r="92" ht="18" customHeight="1">
      <c r="A92" s="84" t="inlineStr">
        <is>
          <t>SUP-0091</t>
        </is>
      </c>
      <c r="B92" s="85" t="inlineStr">
        <is>
          <t>EVT-2025-032</t>
        </is>
      </c>
      <c r="C92" s="86" t="inlineStr">
        <is>
          <t>Cordavex Advisory Board Helsinki Feb 2025</t>
        </is>
      </c>
      <c r="D92" s="86" t="inlineStr">
        <is>
          <t>PrintMed Solutions</t>
        </is>
      </c>
      <c r="E92" s="86" t="inlineStr">
        <is>
          <t>Print &amp; Production</t>
        </is>
      </c>
      <c r="F92" s="85" t="inlineStr">
        <is>
          <t>Signed</t>
        </is>
      </c>
      <c r="G92" s="85" t="inlineStr">
        <is>
          <t>PO-2025-1091</t>
        </is>
      </c>
      <c r="H92" s="85" t="inlineStr"/>
      <c r="I92" s="87" t="n">
        <v>3626.81</v>
      </c>
      <c r="J92" s="85" t="inlineStr">
        <is>
          <t>EUR</t>
        </is>
      </c>
      <c r="K92" s="93" t="inlineStr">
        <is>
          <t>Overdue</t>
        </is>
      </c>
      <c r="L92" s="89" t="n">
        <v>45675</v>
      </c>
      <c r="M92" s="69" t="inlineStr">
        <is>
          <t>Low</t>
        </is>
      </c>
      <c r="N92" s="85" t="n">
        <v>45</v>
      </c>
      <c r="O92" s="94" t="n">
        <v>522</v>
      </c>
      <c r="P92" s="86" t="inlineStr"/>
      <c r="Q92" s="89" t="n">
        <v>46193</v>
      </c>
    </row>
    <row r="93" ht="18" customHeight="1">
      <c r="A93" s="84" t="inlineStr">
        <is>
          <t>SUP-0092</t>
        </is>
      </c>
      <c r="B93" s="71" t="inlineStr">
        <is>
          <t>EVT-2025-033</t>
        </is>
      </c>
      <c r="C93" s="70" t="inlineStr">
        <is>
          <t>Caprexosin Advisory Board Athens Dec 2025</t>
        </is>
      </c>
      <c r="D93" s="70" t="inlineStr">
        <is>
          <t>InterCongress PCO</t>
        </is>
      </c>
      <c r="E93" s="70" t="inlineStr">
        <is>
          <t>PCO / Event Agency</t>
        </is>
      </c>
      <c r="F93" s="71" t="inlineStr">
        <is>
          <t>Contract Sent</t>
        </is>
      </c>
      <c r="G93" s="71" t="inlineStr">
        <is>
          <t>PO-2025-1092</t>
        </is>
      </c>
      <c r="H93" s="71" t="inlineStr"/>
      <c r="I93" s="73" t="n">
        <v>47931.96</v>
      </c>
      <c r="J93" s="71" t="inlineStr">
        <is>
          <t>EUR</t>
        </is>
      </c>
      <c r="K93" s="92" t="inlineStr">
        <is>
          <t>Cancelled</t>
        </is>
      </c>
      <c r="L93" s="72" t="n">
        <v>45971</v>
      </c>
      <c r="M93" s="69" t="inlineStr">
        <is>
          <t>Low</t>
        </is>
      </c>
      <c r="N93" s="71" t="n">
        <v>90</v>
      </c>
      <c r="O93" s="91" t="n">
        <v>0</v>
      </c>
      <c r="P93" s="70" t="inlineStr"/>
      <c r="Q93" s="72" t="n">
        <v>46178</v>
      </c>
    </row>
    <row r="94" ht="18" customHeight="1">
      <c r="A94" s="84" t="inlineStr">
        <is>
          <t>SUP-0093</t>
        </is>
      </c>
      <c r="B94" s="85" t="inlineStr">
        <is>
          <t>EVT-2025-033</t>
        </is>
      </c>
      <c r="C94" s="86" t="inlineStr">
        <is>
          <t>Caprexosin Advisory Board Athens Dec 2025</t>
        </is>
      </c>
      <c r="D94" s="86" t="inlineStr">
        <is>
          <t>MedComm Agency</t>
        </is>
      </c>
      <c r="E94" s="86" t="inlineStr">
        <is>
          <t>Medical Communication</t>
        </is>
      </c>
      <c r="F94" s="85" t="inlineStr">
        <is>
          <t>RFP Sent</t>
        </is>
      </c>
      <c r="G94" s="85" t="inlineStr">
        <is>
          <t>PO-2025-1093</t>
        </is>
      </c>
      <c r="H94" s="85" t="inlineStr">
        <is>
          <t>INV-01093</t>
        </is>
      </c>
      <c r="I94" s="87" t="n">
        <v>19282.62</v>
      </c>
      <c r="J94" s="85" t="inlineStr">
        <is>
          <t>EUR</t>
        </is>
      </c>
      <c r="K94" s="76" t="inlineStr">
        <is>
          <t>Disputed</t>
        </is>
      </c>
      <c r="L94" s="89" t="n">
        <v>45982</v>
      </c>
      <c r="M94" s="69" t="inlineStr">
        <is>
          <t>Low</t>
        </is>
      </c>
      <c r="N94" s="85" t="n">
        <v>60</v>
      </c>
      <c r="O94" s="90" t="n">
        <v>0</v>
      </c>
      <c r="P94" s="86" t="inlineStr"/>
      <c r="Q94" s="89" t="n">
        <v>46171</v>
      </c>
    </row>
    <row r="95" ht="18" customHeight="1">
      <c r="A95" s="84" t="inlineStr">
        <is>
          <t>SUP-0094</t>
        </is>
      </c>
      <c r="B95" s="71" t="inlineStr">
        <is>
          <t>EVT-2025-033</t>
        </is>
      </c>
      <c r="C95" s="70" t="inlineStr">
        <is>
          <t>Caprexosin Advisory Board Athens Dec 2025</t>
        </is>
      </c>
      <c r="D95" s="70" t="inlineStr">
        <is>
          <t>HealthMarketing Group</t>
        </is>
      </c>
      <c r="E95" s="70" t="inlineStr">
        <is>
          <t>Marketing Agency</t>
        </is>
      </c>
      <c r="F95" s="71" t="inlineStr">
        <is>
          <t>Closed</t>
        </is>
      </c>
      <c r="G95" s="71" t="inlineStr">
        <is>
          <t>PO-2025-1094</t>
        </is>
      </c>
      <c r="H95" s="71" t="inlineStr">
        <is>
          <t>INV-01094</t>
        </is>
      </c>
      <c r="I95" s="73" t="n">
        <v>17124.49</v>
      </c>
      <c r="J95" s="71" t="inlineStr">
        <is>
          <t>EUR</t>
        </is>
      </c>
      <c r="K95" s="92" t="inlineStr">
        <is>
          <t>Cancelled</t>
        </is>
      </c>
      <c r="L95" s="72" t="n">
        <v>45976</v>
      </c>
      <c r="M95" s="69" t="inlineStr">
        <is>
          <t>Low</t>
        </is>
      </c>
      <c r="N95" s="71" t="n">
        <v>60</v>
      </c>
      <c r="O95" s="91" t="n">
        <v>0</v>
      </c>
      <c r="P95" s="70" t="inlineStr"/>
      <c r="Q95" s="72" t="n">
        <v>46175</v>
      </c>
    </row>
    <row r="96" ht="18" customHeight="1">
      <c r="A96" s="84" t="inlineStr">
        <is>
          <t>SUP-0095</t>
        </is>
      </c>
      <c r="B96" s="85" t="inlineStr">
        <is>
          <t>EVT-2025-034</t>
        </is>
      </c>
      <c r="C96" s="86" t="inlineStr">
        <is>
          <t>Antivex Internal Meeting Lisbon Mar 2025</t>
        </is>
      </c>
      <c r="D96" s="86" t="inlineStr">
        <is>
          <t>Prime Hospitality Group</t>
        </is>
      </c>
      <c r="E96" s="86" t="inlineStr">
        <is>
          <t>Hotel &amp; Venue</t>
        </is>
      </c>
      <c r="F96" s="85" t="inlineStr">
        <is>
          <t>Closed</t>
        </is>
      </c>
      <c r="G96" s="85" t="inlineStr">
        <is>
          <t>PO-2025-1095</t>
        </is>
      </c>
      <c r="H96" s="85" t="inlineStr"/>
      <c r="I96" s="87" t="n">
        <v>17387.2</v>
      </c>
      <c r="J96" s="85" t="inlineStr">
        <is>
          <t>EUR</t>
        </is>
      </c>
      <c r="K96" s="92" t="inlineStr">
        <is>
          <t>Cancelled</t>
        </is>
      </c>
      <c r="L96" s="89" t="n">
        <v>45699</v>
      </c>
      <c r="M96" s="69" t="inlineStr">
        <is>
          <t>Low</t>
        </is>
      </c>
      <c r="N96" s="85" t="n">
        <v>45</v>
      </c>
      <c r="O96" s="90" t="n">
        <v>0</v>
      </c>
      <c r="P96" s="86" t="inlineStr"/>
      <c r="Q96" s="89" t="n">
        <v>46191</v>
      </c>
    </row>
    <row r="97" ht="18" customHeight="1">
      <c r="A97" s="84" t="inlineStr">
        <is>
          <t>SUP-0096</t>
        </is>
      </c>
      <c r="B97" s="71" t="inlineStr">
        <is>
          <t>EVT-2025-034</t>
        </is>
      </c>
      <c r="C97" s="70" t="inlineStr">
        <is>
          <t>Antivex Internal Meeting Lisbon Mar 2025</t>
        </is>
      </c>
      <c r="D97" s="70" t="inlineStr">
        <is>
          <t>InterCongress PCO</t>
        </is>
      </c>
      <c r="E97" s="70" t="inlineStr">
        <is>
          <t>PCO / Event Agency</t>
        </is>
      </c>
      <c r="F97" s="71" t="inlineStr">
        <is>
          <t>Active</t>
        </is>
      </c>
      <c r="G97" s="71" t="inlineStr">
        <is>
          <t>PO-2025-1096</t>
        </is>
      </c>
      <c r="H97" s="71" t="inlineStr"/>
      <c r="I97" s="73" t="n">
        <v>76200.78999999999</v>
      </c>
      <c r="J97" s="71" t="inlineStr">
        <is>
          <t>EUR</t>
        </is>
      </c>
      <c r="K97" s="92" t="inlineStr">
        <is>
          <t>Cancelled</t>
        </is>
      </c>
      <c r="L97" s="72" t="n">
        <v>45698</v>
      </c>
      <c r="M97" s="69" t="inlineStr">
        <is>
          <t>Low</t>
        </is>
      </c>
      <c r="N97" s="71" t="n">
        <v>45</v>
      </c>
      <c r="O97" s="91" t="n">
        <v>0</v>
      </c>
      <c r="P97" s="70" t="inlineStr"/>
      <c r="Q97" s="72" t="n">
        <v>46178</v>
      </c>
    </row>
    <row r="98" ht="18" customHeight="1">
      <c r="A98" s="84" t="inlineStr">
        <is>
          <t>SUP-0097</t>
        </is>
      </c>
      <c r="B98" s="85" t="inlineStr">
        <is>
          <t>EVT-2025-035</t>
        </is>
      </c>
      <c r="C98" s="86" t="inlineStr">
        <is>
          <t>Cordavex Webinar Amsterdam Sep 2025</t>
        </is>
      </c>
      <c r="D98" s="86" t="inlineStr">
        <is>
          <t>Translingua Pro</t>
        </is>
      </c>
      <c r="E98" s="86" t="inlineStr">
        <is>
          <t>Translation &amp; Interpretation</t>
        </is>
      </c>
      <c r="F98" s="85" t="inlineStr">
        <is>
          <t>RFP Sent</t>
        </is>
      </c>
      <c r="G98" s="85" t="inlineStr">
        <is>
          <t>PO-2025-1097</t>
        </is>
      </c>
      <c r="H98" s="85" t="inlineStr">
        <is>
          <t>INV-01097</t>
        </is>
      </c>
      <c r="I98" s="87" t="n">
        <v>27210.24</v>
      </c>
      <c r="J98" s="85" t="inlineStr">
        <is>
          <t>EUR</t>
        </is>
      </c>
      <c r="K98" s="69" t="inlineStr">
        <is>
          <t>Paid</t>
        </is>
      </c>
      <c r="L98" s="89" t="n">
        <v>45890</v>
      </c>
      <c r="M98" s="69" t="inlineStr">
        <is>
          <t>Low</t>
        </is>
      </c>
      <c r="N98" s="85" t="n">
        <v>60</v>
      </c>
      <c r="O98" s="90" t="n">
        <v>0</v>
      </c>
      <c r="P98" s="86" t="inlineStr"/>
      <c r="Q98" s="89" t="n">
        <v>46176</v>
      </c>
    </row>
    <row r="99" ht="18" customHeight="1">
      <c r="A99" s="84" t="inlineStr">
        <is>
          <t>SUP-0098</t>
        </is>
      </c>
      <c r="B99" s="71" t="inlineStr">
        <is>
          <t>EVT-2025-035</t>
        </is>
      </c>
      <c r="C99" s="70" t="inlineStr">
        <is>
          <t>Cordavex Webinar Amsterdam Sep 2025</t>
        </is>
      </c>
      <c r="D99" s="70" t="inlineStr">
        <is>
          <t>Compliance Expert Ltd</t>
        </is>
      </c>
      <c r="E99" s="70" t="inlineStr">
        <is>
          <t>Compliance &amp; Legal</t>
        </is>
      </c>
      <c r="F99" s="71" t="inlineStr">
        <is>
          <t>Active</t>
        </is>
      </c>
      <c r="G99" s="71" t="inlineStr">
        <is>
          <t>PO-2025-1098</t>
        </is>
      </c>
      <c r="H99" s="71" t="inlineStr">
        <is>
          <t>INV-01098</t>
        </is>
      </c>
      <c r="I99" s="73" t="n">
        <v>51248.04</v>
      </c>
      <c r="J99" s="71" t="inlineStr">
        <is>
          <t>EUR</t>
        </is>
      </c>
      <c r="K99" s="95" t="inlineStr">
        <is>
          <t>Invoiced</t>
        </is>
      </c>
      <c r="L99" s="72" t="n">
        <v>45902</v>
      </c>
      <c r="M99" s="69" t="inlineStr">
        <is>
          <t>Low</t>
        </is>
      </c>
      <c r="N99" s="71" t="n">
        <v>60</v>
      </c>
      <c r="O99" s="91" t="n">
        <v>0</v>
      </c>
      <c r="P99" s="70" t="inlineStr"/>
      <c r="Q99" s="72" t="n">
        <v>46168</v>
      </c>
    </row>
    <row r="100" ht="18" customHeight="1">
      <c r="A100" s="84" t="inlineStr">
        <is>
          <t>SUP-0099</t>
        </is>
      </c>
      <c r="B100" s="85" t="inlineStr">
        <is>
          <t>EVT-2025-035</t>
        </is>
      </c>
      <c r="C100" s="86" t="inlineStr">
        <is>
          <t>Cordavex Webinar Amsterdam Sep 2025</t>
        </is>
      </c>
      <c r="D100" s="86" t="inlineStr">
        <is>
          <t>DigitalPharma Studio</t>
        </is>
      </c>
      <c r="E100" s="86" t="inlineStr">
        <is>
          <t>Digital &amp; Web</t>
        </is>
      </c>
      <c r="F100" s="85" t="inlineStr">
        <is>
          <t>Contract Sent</t>
        </is>
      </c>
      <c r="G100" s="85" t="inlineStr">
        <is>
          <t>PO-2025-1099</t>
        </is>
      </c>
      <c r="H100" s="85" t="inlineStr"/>
      <c r="I100" s="87" t="n">
        <v>38015.91</v>
      </c>
      <c r="J100" s="85" t="inlineStr">
        <is>
          <t>EUR</t>
        </is>
      </c>
      <c r="K100" s="92" t="inlineStr">
        <is>
          <t>Cancelled</t>
        </is>
      </c>
      <c r="L100" s="89" t="n">
        <v>45909</v>
      </c>
      <c r="M100" s="69" t="inlineStr">
        <is>
          <t>Low</t>
        </is>
      </c>
      <c r="N100" s="85" t="n">
        <v>45</v>
      </c>
      <c r="O100" s="90" t="n">
        <v>0</v>
      </c>
      <c r="P100" s="86" t="inlineStr"/>
      <c r="Q100" s="89" t="n">
        <v>46175</v>
      </c>
    </row>
    <row r="101" ht="18" customHeight="1">
      <c r="A101" s="84" t="inlineStr">
        <is>
          <t>SUP-0100</t>
        </is>
      </c>
      <c r="B101" s="71" t="inlineStr">
        <is>
          <t>EVT-2025-035</t>
        </is>
      </c>
      <c r="C101" s="70" t="inlineStr">
        <is>
          <t>Cordavex Webinar Amsterdam Sep 2025</t>
        </is>
      </c>
      <c r="D101" s="70" t="inlineStr">
        <is>
          <t>TechEvent Systems</t>
        </is>
      </c>
      <c r="E101" s="70" t="inlineStr">
        <is>
          <t>Registration &amp; Tech</t>
        </is>
      </c>
      <c r="F101" s="71" t="inlineStr">
        <is>
          <t>Signed</t>
        </is>
      </c>
      <c r="G101" s="71" t="inlineStr">
        <is>
          <t>PO-2025-1100</t>
        </is>
      </c>
      <c r="H101" s="71" t="inlineStr"/>
      <c r="I101" s="73" t="n">
        <v>69411.5</v>
      </c>
      <c r="J101" s="71" t="inlineStr">
        <is>
          <t>EUR</t>
        </is>
      </c>
      <c r="K101" s="93" t="inlineStr">
        <is>
          <t>Overdue</t>
        </is>
      </c>
      <c r="L101" s="72" t="n">
        <v>45908</v>
      </c>
      <c r="M101" s="76" t="inlineStr">
        <is>
          <t>Medium</t>
        </is>
      </c>
      <c r="N101" s="71" t="n">
        <v>45</v>
      </c>
      <c r="O101" s="94" t="n">
        <v>289</v>
      </c>
      <c r="P101" s="70" t="inlineStr"/>
      <c r="Q101" s="72" t="n">
        <v>46181</v>
      </c>
    </row>
    <row r="102" ht="18" customHeight="1">
      <c r="A102" s="84" t="inlineStr">
        <is>
          <t>SUP-0101</t>
        </is>
      </c>
      <c r="B102" s="85" t="inlineStr">
        <is>
          <t>EVT-2025-035</t>
        </is>
      </c>
      <c r="C102" s="86" t="inlineStr">
        <is>
          <t>Cordavex Webinar Amsterdam Sep 2025</t>
        </is>
      </c>
      <c r="D102" s="86" t="inlineStr">
        <is>
          <t>KOL Connect</t>
        </is>
      </c>
      <c r="E102" s="86" t="inlineStr">
        <is>
          <t>Speaker Management</t>
        </is>
      </c>
      <c r="F102" s="85" t="inlineStr">
        <is>
          <t>Terminated</t>
        </is>
      </c>
      <c r="G102" s="85" t="inlineStr">
        <is>
          <t>PO-2025-1101</t>
        </is>
      </c>
      <c r="H102" s="85" t="inlineStr">
        <is>
          <t>INV-01101</t>
        </is>
      </c>
      <c r="I102" s="87" t="n">
        <v>45236.68</v>
      </c>
      <c r="J102" s="85" t="inlineStr">
        <is>
          <t>EUR</t>
        </is>
      </c>
      <c r="K102" s="69" t="inlineStr">
        <is>
          <t>Paid</t>
        </is>
      </c>
      <c r="L102" s="89" t="n">
        <v>45887</v>
      </c>
      <c r="M102" s="76" t="inlineStr">
        <is>
          <t>Medium</t>
        </is>
      </c>
      <c r="N102" s="85" t="n">
        <v>60</v>
      </c>
      <c r="O102" s="90" t="n">
        <v>0</v>
      </c>
      <c r="P102" s="86" t="inlineStr"/>
      <c r="Q102" s="89" t="n">
        <v>46175</v>
      </c>
    </row>
    <row r="103" ht="18" customHeight="1">
      <c r="A103" s="84" t="inlineStr">
        <is>
          <t>SUP-0102</t>
        </is>
      </c>
      <c r="B103" s="71" t="inlineStr">
        <is>
          <t>EVT-2025-036</t>
        </is>
      </c>
      <c r="C103" s="70" t="inlineStr">
        <is>
          <t>Bioflair Internal Meeting Milan Aug 2025</t>
        </is>
      </c>
      <c r="D103" s="70" t="inlineStr">
        <is>
          <t>Compliance Expert Ltd</t>
        </is>
      </c>
      <c r="E103" s="70" t="inlineStr">
        <is>
          <t>Compliance &amp; Legal</t>
        </is>
      </c>
      <c r="F103" s="71" t="inlineStr">
        <is>
          <t>Contract Sent</t>
        </is>
      </c>
      <c r="G103" s="71" t="inlineStr">
        <is>
          <t>PO-2025-1102</t>
        </is>
      </c>
      <c r="H103" s="71" t="inlineStr">
        <is>
          <t>INV-01102</t>
        </is>
      </c>
      <c r="I103" s="73" t="n">
        <v>76702.34</v>
      </c>
      <c r="J103" s="71" t="inlineStr">
        <is>
          <t>EUR</t>
        </is>
      </c>
      <c r="K103" s="92" t="inlineStr">
        <is>
          <t>Cancelled</t>
        </is>
      </c>
      <c r="L103" s="72" t="n">
        <v>45861</v>
      </c>
      <c r="M103" s="69" t="inlineStr">
        <is>
          <t>Low</t>
        </is>
      </c>
      <c r="N103" s="71" t="n">
        <v>30</v>
      </c>
      <c r="O103" s="91" t="n">
        <v>0</v>
      </c>
      <c r="P103" s="70" t="inlineStr"/>
      <c r="Q103" s="72" t="n">
        <v>46173</v>
      </c>
    </row>
    <row r="104" ht="18" customHeight="1">
      <c r="A104" s="84" t="inlineStr">
        <is>
          <t>SUP-0103</t>
        </is>
      </c>
      <c r="B104" s="85" t="inlineStr">
        <is>
          <t>EVT-2025-036</t>
        </is>
      </c>
      <c r="C104" s="86" t="inlineStr">
        <is>
          <t>Bioflair Internal Meeting Milan Aug 2025</t>
        </is>
      </c>
      <c r="D104" s="86" t="inlineStr">
        <is>
          <t>Prime Hospitality Group</t>
        </is>
      </c>
      <c r="E104" s="86" t="inlineStr">
        <is>
          <t>Hotel &amp; Venue</t>
        </is>
      </c>
      <c r="F104" s="85" t="inlineStr">
        <is>
          <t>Closed</t>
        </is>
      </c>
      <c r="G104" s="85" t="inlineStr">
        <is>
          <t>PO-2025-1103</t>
        </is>
      </c>
      <c r="H104" s="85" t="inlineStr">
        <is>
          <t>INV-01103</t>
        </is>
      </c>
      <c r="I104" s="87" t="n">
        <v>8577.67</v>
      </c>
      <c r="J104" s="85" t="inlineStr">
        <is>
          <t>EUR</t>
        </is>
      </c>
      <c r="K104" s="88" t="inlineStr">
        <is>
          <t>Approved</t>
        </is>
      </c>
      <c r="L104" s="89" t="n">
        <v>45855</v>
      </c>
      <c r="M104" s="69" t="inlineStr">
        <is>
          <t>Low</t>
        </is>
      </c>
      <c r="N104" s="85" t="n">
        <v>60</v>
      </c>
      <c r="O104" s="90" t="n">
        <v>0</v>
      </c>
      <c r="P104" s="86" t="inlineStr"/>
      <c r="Q104" s="89" t="n">
        <v>46180</v>
      </c>
    </row>
    <row r="105" ht="18" customHeight="1">
      <c r="A105" s="84" t="inlineStr">
        <is>
          <t>SUP-0104</t>
        </is>
      </c>
      <c r="B105" s="71" t="inlineStr">
        <is>
          <t>EVT-2025-036</t>
        </is>
      </c>
      <c r="C105" s="70" t="inlineStr">
        <is>
          <t>Bioflair Internal Meeting Milan Aug 2025</t>
        </is>
      </c>
      <c r="D105" s="70" t="inlineStr">
        <is>
          <t>PharmaLogix</t>
        </is>
      </c>
      <c r="E105" s="70" t="inlineStr">
        <is>
          <t>Logistics &amp; Transport</t>
        </is>
      </c>
      <c r="F105" s="71" t="inlineStr">
        <is>
          <t>Contract Sent</t>
        </is>
      </c>
      <c r="G105" s="71" t="inlineStr">
        <is>
          <t>PO-2025-1104</t>
        </is>
      </c>
      <c r="H105" s="71" t="inlineStr">
        <is>
          <t>INV-01104</t>
        </is>
      </c>
      <c r="I105" s="73" t="n">
        <v>36274.9</v>
      </c>
      <c r="J105" s="71" t="inlineStr">
        <is>
          <t>EUR</t>
        </is>
      </c>
      <c r="K105" s="95" t="inlineStr">
        <is>
          <t>Invoiced</t>
        </is>
      </c>
      <c r="L105" s="72" t="n">
        <v>45859</v>
      </c>
      <c r="M105" s="76" t="inlineStr">
        <is>
          <t>Medium</t>
        </is>
      </c>
      <c r="N105" s="71" t="n">
        <v>90</v>
      </c>
      <c r="O105" s="91" t="n">
        <v>0</v>
      </c>
      <c r="P105" s="70" t="inlineStr"/>
      <c r="Q105" s="72" t="n">
        <v>46179</v>
      </c>
    </row>
    <row r="106" ht="18" customHeight="1">
      <c r="A106" s="84" t="inlineStr">
        <is>
          <t>SUP-0105</t>
        </is>
      </c>
      <c r="B106" s="85" t="inlineStr">
        <is>
          <t>EVT-2025-036</t>
        </is>
      </c>
      <c r="C106" s="86" t="inlineStr">
        <is>
          <t>Bioflair Internal Meeting Milan Aug 2025</t>
        </is>
      </c>
      <c r="D106" s="86" t="inlineStr">
        <is>
          <t>DigitalPharma Studio</t>
        </is>
      </c>
      <c r="E106" s="86" t="inlineStr">
        <is>
          <t>Digital &amp; Web</t>
        </is>
      </c>
      <c r="F106" s="85" t="inlineStr">
        <is>
          <t>Terminated</t>
        </is>
      </c>
      <c r="G106" s="85" t="inlineStr">
        <is>
          <t>PO-2025-1105</t>
        </is>
      </c>
      <c r="H106" s="85" t="inlineStr">
        <is>
          <t>INV-01105</t>
        </is>
      </c>
      <c r="I106" s="87" t="n">
        <v>32218.49</v>
      </c>
      <c r="J106" s="85" t="inlineStr">
        <is>
          <t>EUR</t>
        </is>
      </c>
      <c r="K106" s="96" t="inlineStr">
        <is>
          <t>Pending</t>
        </is>
      </c>
      <c r="L106" s="89" t="n">
        <v>45865</v>
      </c>
      <c r="M106" s="76" t="inlineStr">
        <is>
          <t>Medium</t>
        </is>
      </c>
      <c r="N106" s="85" t="n">
        <v>90</v>
      </c>
      <c r="O106" s="90" t="n">
        <v>0</v>
      </c>
      <c r="P106" s="86" t="inlineStr"/>
      <c r="Q106" s="89" t="n">
        <v>46176</v>
      </c>
    </row>
    <row r="107" ht="18" customHeight="1">
      <c r="A107" s="84" t="inlineStr">
        <is>
          <t>SUP-0106</t>
        </is>
      </c>
      <c r="B107" s="71" t="inlineStr">
        <is>
          <t>EVT-2025-036</t>
        </is>
      </c>
      <c r="C107" s="70" t="inlineStr">
        <is>
          <t>Bioflair Internal Meeting Milan Aug 2025</t>
        </is>
      </c>
      <c r="D107" s="70" t="inlineStr">
        <is>
          <t>Translingua Pro</t>
        </is>
      </c>
      <c r="E107" s="70" t="inlineStr">
        <is>
          <t>Translation &amp; Interpretation</t>
        </is>
      </c>
      <c r="F107" s="71" t="inlineStr">
        <is>
          <t>Signed</t>
        </is>
      </c>
      <c r="G107" s="71" t="inlineStr">
        <is>
          <t>PO-2025-1106</t>
        </is>
      </c>
      <c r="H107" s="71" t="inlineStr">
        <is>
          <t>INV-01106</t>
        </is>
      </c>
      <c r="I107" s="73" t="n">
        <v>28102.65</v>
      </c>
      <c r="J107" s="71" t="inlineStr">
        <is>
          <t>EUR</t>
        </is>
      </c>
      <c r="K107" s="76" t="inlineStr">
        <is>
          <t>Disputed</t>
        </is>
      </c>
      <c r="L107" s="72" t="n">
        <v>45865</v>
      </c>
      <c r="M107" s="69" t="inlineStr">
        <is>
          <t>Low</t>
        </is>
      </c>
      <c r="N107" s="71" t="n">
        <v>60</v>
      </c>
      <c r="O107" s="91" t="n">
        <v>0</v>
      </c>
      <c r="P107" s="70" t="inlineStr"/>
      <c r="Q107" s="72" t="n">
        <v>46169</v>
      </c>
    </row>
    <row r="108" ht="18" customHeight="1">
      <c r="A108" s="84" t="inlineStr">
        <is>
          <t>SUP-0107</t>
        </is>
      </c>
      <c r="B108" s="85" t="inlineStr">
        <is>
          <t>EVT-2025-037</t>
        </is>
      </c>
      <c r="C108" s="86" t="inlineStr">
        <is>
          <t>Orphavex Advisory Board Berlin May 2025</t>
        </is>
      </c>
      <c r="D108" s="86" t="inlineStr">
        <is>
          <t>Catering Excellence</t>
        </is>
      </c>
      <c r="E108" s="86" t="inlineStr">
        <is>
          <t>F&amp;B / Catering</t>
        </is>
      </c>
      <c r="F108" s="85" t="inlineStr">
        <is>
          <t>Closed</t>
        </is>
      </c>
      <c r="G108" s="85" t="inlineStr">
        <is>
          <t>PO-2025-1107</t>
        </is>
      </c>
      <c r="H108" s="85" t="inlineStr">
        <is>
          <t>INV-01107</t>
        </is>
      </c>
      <c r="I108" s="87" t="n">
        <v>49010.66</v>
      </c>
      <c r="J108" s="85" t="inlineStr">
        <is>
          <t>EUR</t>
        </is>
      </c>
      <c r="K108" s="93" t="inlineStr">
        <is>
          <t>Overdue</t>
        </is>
      </c>
      <c r="L108" s="89" t="n">
        <v>45782</v>
      </c>
      <c r="M108" s="69" t="inlineStr">
        <is>
          <t>Low</t>
        </is>
      </c>
      <c r="N108" s="85" t="n">
        <v>90</v>
      </c>
      <c r="O108" s="94" t="n">
        <v>415</v>
      </c>
      <c r="P108" s="86" t="inlineStr"/>
      <c r="Q108" s="89" t="n">
        <v>46172</v>
      </c>
    </row>
    <row r="109" ht="18" customHeight="1">
      <c r="A109" s="84" t="inlineStr">
        <is>
          <t>SUP-0108</t>
        </is>
      </c>
      <c r="B109" s="71" t="inlineStr">
        <is>
          <t>EVT-2025-037</t>
        </is>
      </c>
      <c r="C109" s="70" t="inlineStr">
        <is>
          <t>Orphavex Advisory Board Berlin May 2025</t>
        </is>
      </c>
      <c r="D109" s="70" t="inlineStr">
        <is>
          <t>KOL Connect</t>
        </is>
      </c>
      <c r="E109" s="70" t="inlineStr">
        <is>
          <t>Speaker Management</t>
        </is>
      </c>
      <c r="F109" s="71" t="inlineStr">
        <is>
          <t>Negotiating</t>
        </is>
      </c>
      <c r="G109" s="71" t="inlineStr">
        <is>
          <t>PO-2025-1108</t>
        </is>
      </c>
      <c r="H109" s="71" t="inlineStr"/>
      <c r="I109" s="73" t="n">
        <v>29286.02</v>
      </c>
      <c r="J109" s="71" t="inlineStr">
        <is>
          <t>EUR</t>
        </is>
      </c>
      <c r="K109" s="69" t="inlineStr">
        <is>
          <t>Paid</t>
        </is>
      </c>
      <c r="L109" s="72" t="n">
        <v>45766</v>
      </c>
      <c r="M109" s="76" t="inlineStr">
        <is>
          <t>Medium</t>
        </is>
      </c>
      <c r="N109" s="71" t="n">
        <v>30</v>
      </c>
      <c r="O109" s="91" t="n">
        <v>0</v>
      </c>
      <c r="P109" s="70" t="inlineStr"/>
      <c r="Q109" s="72" t="n">
        <v>46181</v>
      </c>
    </row>
    <row r="110" ht="18" customHeight="1">
      <c r="A110" s="84" t="inlineStr">
        <is>
          <t>SUP-0109</t>
        </is>
      </c>
      <c r="B110" s="85" t="inlineStr">
        <is>
          <t>EVT-2025-037</t>
        </is>
      </c>
      <c r="C110" s="86" t="inlineStr">
        <is>
          <t>Orphavex Advisory Board Berlin May 2025</t>
        </is>
      </c>
      <c r="D110" s="86" t="inlineStr">
        <is>
          <t>Compliance Expert Ltd</t>
        </is>
      </c>
      <c r="E110" s="86" t="inlineStr">
        <is>
          <t>Compliance &amp; Legal</t>
        </is>
      </c>
      <c r="F110" s="85" t="inlineStr">
        <is>
          <t>Terminated</t>
        </is>
      </c>
      <c r="G110" s="85" t="inlineStr">
        <is>
          <t>PO-2025-1109</t>
        </is>
      </c>
      <c r="H110" s="85" t="inlineStr">
        <is>
          <t>INV-01109</t>
        </is>
      </c>
      <c r="I110" s="87" t="n">
        <v>75164.17</v>
      </c>
      <c r="J110" s="85" t="inlineStr">
        <is>
          <t>EUR</t>
        </is>
      </c>
      <c r="K110" s="76" t="inlineStr">
        <is>
          <t>Disputed</t>
        </is>
      </c>
      <c r="L110" s="89" t="n">
        <v>45777</v>
      </c>
      <c r="M110" s="69" t="inlineStr">
        <is>
          <t>Low</t>
        </is>
      </c>
      <c r="N110" s="85" t="n">
        <v>30</v>
      </c>
      <c r="O110" s="90" t="n">
        <v>0</v>
      </c>
      <c r="P110" s="86" t="inlineStr"/>
      <c r="Q110" s="89" t="n">
        <v>46197</v>
      </c>
    </row>
    <row r="111" ht="18" customHeight="1">
      <c r="A111" s="84" t="inlineStr">
        <is>
          <t>SUP-0110</t>
        </is>
      </c>
      <c r="B111" s="71" t="inlineStr">
        <is>
          <t>EVT-2025-038</t>
        </is>
      </c>
      <c r="C111" s="70" t="inlineStr">
        <is>
          <t>Genetrix Satellite Symposium Amsterdam Jun 2025</t>
        </is>
      </c>
      <c r="D111" s="70" t="inlineStr">
        <is>
          <t>TechEvent Systems</t>
        </is>
      </c>
      <c r="E111" s="70" t="inlineStr">
        <is>
          <t>Registration &amp; Tech</t>
        </is>
      </c>
      <c r="F111" s="71" t="inlineStr">
        <is>
          <t>Closed</t>
        </is>
      </c>
      <c r="G111" s="71" t="inlineStr">
        <is>
          <t>PO-2025-1110</t>
        </is>
      </c>
      <c r="H111" s="71" t="inlineStr">
        <is>
          <t>INV-01110</t>
        </is>
      </c>
      <c r="I111" s="73" t="n">
        <v>75874.47</v>
      </c>
      <c r="J111" s="71" t="inlineStr">
        <is>
          <t>EUR</t>
        </is>
      </c>
      <c r="K111" s="96" t="inlineStr">
        <is>
          <t>Pending</t>
        </is>
      </c>
      <c r="L111" s="72" t="n">
        <v>45805</v>
      </c>
      <c r="M111" s="93" t="inlineStr">
        <is>
          <t>High</t>
        </is>
      </c>
      <c r="N111" s="71" t="n">
        <v>90</v>
      </c>
      <c r="O111" s="91" t="n">
        <v>0</v>
      </c>
      <c r="P111" s="70" t="inlineStr"/>
      <c r="Q111" s="72" t="n">
        <v>46193</v>
      </c>
    </row>
    <row r="112" ht="18" customHeight="1">
      <c r="A112" s="84" t="inlineStr">
        <is>
          <t>SUP-0111</t>
        </is>
      </c>
      <c r="B112" s="85" t="inlineStr">
        <is>
          <t>EVT-2025-038</t>
        </is>
      </c>
      <c r="C112" s="86" t="inlineStr">
        <is>
          <t>Genetrix Satellite Symposium Amsterdam Jun 2025</t>
        </is>
      </c>
      <c r="D112" s="86" t="inlineStr">
        <is>
          <t>MedAudio AV Solutions</t>
        </is>
      </c>
      <c r="E112" s="86" t="inlineStr">
        <is>
          <t>AV &amp; Technology</t>
        </is>
      </c>
      <c r="F112" s="85" t="inlineStr">
        <is>
          <t>Negotiating</t>
        </is>
      </c>
      <c r="G112" s="85" t="inlineStr">
        <is>
          <t>PO-2025-1111</t>
        </is>
      </c>
      <c r="H112" s="85" t="inlineStr">
        <is>
          <t>INV-01111</t>
        </is>
      </c>
      <c r="I112" s="87" t="n">
        <v>41662.1</v>
      </c>
      <c r="J112" s="85" t="inlineStr">
        <is>
          <t>EUR</t>
        </is>
      </c>
      <c r="K112" s="88" t="inlineStr">
        <is>
          <t>Approved</t>
        </is>
      </c>
      <c r="L112" s="89" t="n">
        <v>45826</v>
      </c>
      <c r="M112" s="69" t="inlineStr">
        <is>
          <t>Low</t>
        </is>
      </c>
      <c r="N112" s="85" t="n">
        <v>30</v>
      </c>
      <c r="O112" s="90" t="n">
        <v>0</v>
      </c>
      <c r="P112" s="86" t="inlineStr"/>
      <c r="Q112" s="89" t="n">
        <v>46176</v>
      </c>
    </row>
    <row r="113" ht="18" customHeight="1">
      <c r="A113" s="84" t="inlineStr">
        <is>
          <t>SUP-0112</t>
        </is>
      </c>
      <c r="B113" s="71" t="inlineStr">
        <is>
          <t>EVT-2025-038</t>
        </is>
      </c>
      <c r="C113" s="70" t="inlineStr">
        <is>
          <t>Genetrix Satellite Symposium Amsterdam Jun 2025</t>
        </is>
      </c>
      <c r="D113" s="70" t="inlineStr">
        <is>
          <t>Compliance Expert Ltd</t>
        </is>
      </c>
      <c r="E113" s="70" t="inlineStr">
        <is>
          <t>Compliance &amp; Legal</t>
        </is>
      </c>
      <c r="F113" s="71" t="inlineStr">
        <is>
          <t>Negotiating</t>
        </is>
      </c>
      <c r="G113" s="71" t="inlineStr">
        <is>
          <t>PO-2025-1112</t>
        </is>
      </c>
      <c r="H113" s="71" t="inlineStr">
        <is>
          <t>INV-01112</t>
        </is>
      </c>
      <c r="I113" s="73" t="n">
        <v>61760.18</v>
      </c>
      <c r="J113" s="71" t="inlineStr">
        <is>
          <t>EUR</t>
        </is>
      </c>
      <c r="K113" s="88" t="inlineStr">
        <is>
          <t>Approved</t>
        </is>
      </c>
      <c r="L113" s="72" t="n">
        <v>45820</v>
      </c>
      <c r="M113" s="69" t="inlineStr">
        <is>
          <t>Low</t>
        </is>
      </c>
      <c r="N113" s="71" t="n">
        <v>30</v>
      </c>
      <c r="O113" s="91" t="n">
        <v>0</v>
      </c>
      <c r="P113" s="70" t="inlineStr"/>
      <c r="Q113" s="72" t="n">
        <v>46191</v>
      </c>
    </row>
    <row r="114" ht="18" customHeight="1">
      <c r="A114" s="84" t="inlineStr">
        <is>
          <t>SUP-0113</t>
        </is>
      </c>
      <c r="B114" s="85" t="inlineStr">
        <is>
          <t>EVT-2025-039</t>
        </is>
      </c>
      <c r="C114" s="86" t="inlineStr">
        <is>
          <t>Rarzolene Advisory Board Athens May 2025</t>
        </is>
      </c>
      <c r="D114" s="86" t="inlineStr">
        <is>
          <t>Catering Excellence</t>
        </is>
      </c>
      <c r="E114" s="86" t="inlineStr">
        <is>
          <t>F&amp;B / Catering</t>
        </is>
      </c>
      <c r="F114" s="85" t="inlineStr">
        <is>
          <t>RFP Sent</t>
        </is>
      </c>
      <c r="G114" s="85" t="inlineStr">
        <is>
          <t>PO-2025-1113</t>
        </is>
      </c>
      <c r="H114" s="85" t="inlineStr">
        <is>
          <t>INV-01113</t>
        </is>
      </c>
      <c r="I114" s="87" t="n">
        <v>9888.98</v>
      </c>
      <c r="J114" s="85" t="inlineStr">
        <is>
          <t>EUR</t>
        </is>
      </c>
      <c r="K114" s="93" t="inlineStr">
        <is>
          <t>Overdue</t>
        </is>
      </c>
      <c r="L114" s="89" t="n">
        <v>45775</v>
      </c>
      <c r="M114" s="76" t="inlineStr">
        <is>
          <t>Medium</t>
        </is>
      </c>
      <c r="N114" s="85" t="n">
        <v>60</v>
      </c>
      <c r="O114" s="94" t="n">
        <v>422</v>
      </c>
      <c r="P114" s="86" t="inlineStr"/>
      <c r="Q114" s="89" t="n">
        <v>46173</v>
      </c>
    </row>
    <row r="115" ht="18" customHeight="1">
      <c r="A115" s="84" t="inlineStr">
        <is>
          <t>SUP-0114</t>
        </is>
      </c>
      <c r="B115" s="71" t="inlineStr">
        <is>
          <t>EVT-2025-040</t>
        </is>
      </c>
      <c r="C115" s="70" t="inlineStr">
        <is>
          <t>Rarzolene Symposium Istanbul Dec 2025</t>
        </is>
      </c>
      <c r="D115" s="70" t="inlineStr">
        <is>
          <t>HealthMarketing Group</t>
        </is>
      </c>
      <c r="E115" s="70" t="inlineStr">
        <is>
          <t>Marketing Agency</t>
        </is>
      </c>
      <c r="F115" s="71" t="inlineStr">
        <is>
          <t>Terminated</t>
        </is>
      </c>
      <c r="G115" s="71" t="inlineStr">
        <is>
          <t>PO-2025-1114</t>
        </is>
      </c>
      <c r="H115" s="71" t="inlineStr"/>
      <c r="I115" s="73" t="n">
        <v>31384.15</v>
      </c>
      <c r="J115" s="71" t="inlineStr">
        <is>
          <t>EUR</t>
        </is>
      </c>
      <c r="K115" s="76" t="inlineStr">
        <is>
          <t>Disputed</t>
        </is>
      </c>
      <c r="L115" s="72" t="n">
        <v>46007</v>
      </c>
      <c r="M115" s="69" t="inlineStr">
        <is>
          <t>Low</t>
        </is>
      </c>
      <c r="N115" s="71" t="n">
        <v>45</v>
      </c>
      <c r="O115" s="91" t="n">
        <v>0</v>
      </c>
      <c r="P115" s="70" t="inlineStr"/>
      <c r="Q115" s="72" t="n">
        <v>46188</v>
      </c>
    </row>
    <row r="116" ht="18" customHeight="1">
      <c r="A116" s="84" t="inlineStr">
        <is>
          <t>SUP-0115</t>
        </is>
      </c>
      <c r="B116" s="85" t="inlineStr">
        <is>
          <t>EVT-2025-040</t>
        </is>
      </c>
      <c r="C116" s="86" t="inlineStr">
        <is>
          <t>Rarzolene Symposium Istanbul Dec 2025</t>
        </is>
      </c>
      <c r="D116" s="86" t="inlineStr">
        <is>
          <t>Venue Masters EMEA</t>
        </is>
      </c>
      <c r="E116" s="86" t="inlineStr">
        <is>
          <t>Venue Sourcing</t>
        </is>
      </c>
      <c r="F116" s="85" t="inlineStr">
        <is>
          <t>Contract Sent</t>
        </is>
      </c>
      <c r="G116" s="85" t="inlineStr">
        <is>
          <t>PO-2025-1115</t>
        </is>
      </c>
      <c r="H116" s="85" t="inlineStr">
        <is>
          <t>INV-01115</t>
        </is>
      </c>
      <c r="I116" s="87" t="n">
        <v>72407.17</v>
      </c>
      <c r="J116" s="85" t="inlineStr">
        <is>
          <t>EUR</t>
        </is>
      </c>
      <c r="K116" s="69" t="inlineStr">
        <is>
          <t>Paid</t>
        </is>
      </c>
      <c r="L116" s="89" t="n">
        <v>45989</v>
      </c>
      <c r="M116" s="69" t="inlineStr">
        <is>
          <t>Low</t>
        </is>
      </c>
      <c r="N116" s="85" t="n">
        <v>60</v>
      </c>
      <c r="O116" s="90" t="n">
        <v>0</v>
      </c>
      <c r="P116" s="86" t="inlineStr"/>
      <c r="Q116" s="89" t="n">
        <v>46193</v>
      </c>
    </row>
    <row r="117" ht="18" customHeight="1">
      <c r="A117" s="84" t="inlineStr">
        <is>
          <t>SUP-0116</t>
        </is>
      </c>
      <c r="B117" s="71" t="inlineStr">
        <is>
          <t>EVT-2025-040</t>
        </is>
      </c>
      <c r="C117" s="70" t="inlineStr">
        <is>
          <t>Rarzolene Symposium Istanbul Dec 2025</t>
        </is>
      </c>
      <c r="D117" s="70" t="inlineStr">
        <is>
          <t>DigitalPharma Studio</t>
        </is>
      </c>
      <c r="E117" s="70" t="inlineStr">
        <is>
          <t>Digital &amp; Web</t>
        </is>
      </c>
      <c r="F117" s="71" t="inlineStr">
        <is>
          <t>Closed</t>
        </is>
      </c>
      <c r="G117" s="71" t="inlineStr">
        <is>
          <t>PO-2025-1116</t>
        </is>
      </c>
      <c r="H117" s="71" t="inlineStr">
        <is>
          <t>INV-01116</t>
        </is>
      </c>
      <c r="I117" s="73" t="n">
        <v>20527.36</v>
      </c>
      <c r="J117" s="71" t="inlineStr">
        <is>
          <t>EUR</t>
        </is>
      </c>
      <c r="K117" s="92" t="inlineStr">
        <is>
          <t>Cancelled</t>
        </is>
      </c>
      <c r="L117" s="72" t="n">
        <v>45998</v>
      </c>
      <c r="M117" s="76" t="inlineStr">
        <is>
          <t>Medium</t>
        </is>
      </c>
      <c r="N117" s="71" t="n">
        <v>30</v>
      </c>
      <c r="O117" s="91" t="n">
        <v>0</v>
      </c>
      <c r="P117" s="70" t="inlineStr"/>
      <c r="Q117" s="72" t="n">
        <v>46175</v>
      </c>
    </row>
    <row r="118" ht="18" customHeight="1">
      <c r="A118" s="84" t="inlineStr">
        <is>
          <t>SUP-0117</t>
        </is>
      </c>
      <c r="B118" s="85" t="inlineStr">
        <is>
          <t>EVT-2025-041</t>
        </is>
      </c>
      <c r="C118" s="86" t="inlineStr">
        <is>
          <t>Cognivex Congress Brussels Oct 2025</t>
        </is>
      </c>
      <c r="D118" s="86" t="inlineStr">
        <is>
          <t>Prime Hospitality Group</t>
        </is>
      </c>
      <c r="E118" s="86" t="inlineStr">
        <is>
          <t>Hotel &amp; Venue</t>
        </is>
      </c>
      <c r="F118" s="85" t="inlineStr">
        <is>
          <t>Signed</t>
        </is>
      </c>
      <c r="G118" s="85" t="inlineStr">
        <is>
          <t>PO-2025-1117</t>
        </is>
      </c>
      <c r="H118" s="85" t="inlineStr">
        <is>
          <t>INV-01117</t>
        </is>
      </c>
      <c r="I118" s="87" t="n">
        <v>63180.88</v>
      </c>
      <c r="J118" s="85" t="inlineStr">
        <is>
          <t>EUR</t>
        </is>
      </c>
      <c r="K118" s="93" t="inlineStr">
        <is>
          <t>Overdue</t>
        </is>
      </c>
      <c r="L118" s="89" t="n">
        <v>45943</v>
      </c>
      <c r="M118" s="69" t="inlineStr">
        <is>
          <t>Low</t>
        </is>
      </c>
      <c r="N118" s="85" t="n">
        <v>60</v>
      </c>
      <c r="O118" s="94" t="n">
        <v>254</v>
      </c>
      <c r="P118" s="86" t="inlineStr"/>
      <c r="Q118" s="89" t="n">
        <v>46191</v>
      </c>
    </row>
    <row r="119" ht="18" customHeight="1">
      <c r="A119" s="84" t="inlineStr">
        <is>
          <t>SUP-0118</t>
        </is>
      </c>
      <c r="B119" s="71" t="inlineStr">
        <is>
          <t>EVT-2025-041</t>
        </is>
      </c>
      <c r="C119" s="70" t="inlineStr">
        <is>
          <t>Cognivex Congress Brussels Oct 2025</t>
        </is>
      </c>
      <c r="D119" s="70" t="inlineStr">
        <is>
          <t>PrintMed Solutions</t>
        </is>
      </c>
      <c r="E119" s="70" t="inlineStr">
        <is>
          <t>Print &amp; Production</t>
        </is>
      </c>
      <c r="F119" s="71" t="inlineStr">
        <is>
          <t>Negotiating</t>
        </is>
      </c>
      <c r="G119" s="71" t="inlineStr">
        <is>
          <t>PO-2025-1118</t>
        </is>
      </c>
      <c r="H119" s="71" t="inlineStr">
        <is>
          <t>INV-01118</t>
        </is>
      </c>
      <c r="I119" s="73" t="n">
        <v>23978.2</v>
      </c>
      <c r="J119" s="71" t="inlineStr">
        <is>
          <t>EUR</t>
        </is>
      </c>
      <c r="K119" s="69" t="inlineStr">
        <is>
          <t>Paid</t>
        </is>
      </c>
      <c r="L119" s="72" t="n">
        <v>45937</v>
      </c>
      <c r="M119" s="69" t="inlineStr">
        <is>
          <t>Low</t>
        </is>
      </c>
      <c r="N119" s="71" t="n">
        <v>30</v>
      </c>
      <c r="O119" s="91" t="n">
        <v>0</v>
      </c>
      <c r="P119" s="70" t="inlineStr"/>
      <c r="Q119" s="72" t="n">
        <v>46186</v>
      </c>
    </row>
    <row r="120" ht="18" customHeight="1">
      <c r="A120" s="84" t="inlineStr">
        <is>
          <t>SUP-0119</t>
        </is>
      </c>
      <c r="B120" s="85" t="inlineStr">
        <is>
          <t>EVT-2025-041</t>
        </is>
      </c>
      <c r="C120" s="86" t="inlineStr">
        <is>
          <t>Cognivex Congress Brussels Oct 2025</t>
        </is>
      </c>
      <c r="D120" s="86" t="inlineStr">
        <is>
          <t>HealthMarketing Group</t>
        </is>
      </c>
      <c r="E120" s="86" t="inlineStr">
        <is>
          <t>Marketing Agency</t>
        </is>
      </c>
      <c r="F120" s="85" t="inlineStr">
        <is>
          <t>Closed</t>
        </is>
      </c>
      <c r="G120" s="85" t="inlineStr">
        <is>
          <t>PO-2025-1119</t>
        </is>
      </c>
      <c r="H120" s="85" t="inlineStr">
        <is>
          <t>INV-01119</t>
        </is>
      </c>
      <c r="I120" s="87" t="n">
        <v>64498.22</v>
      </c>
      <c r="J120" s="85" t="inlineStr">
        <is>
          <t>EUR</t>
        </is>
      </c>
      <c r="K120" s="96" t="inlineStr">
        <is>
          <t>Pending</t>
        </is>
      </c>
      <c r="L120" s="89" t="n">
        <v>45945</v>
      </c>
      <c r="M120" s="76" t="inlineStr">
        <is>
          <t>Medium</t>
        </is>
      </c>
      <c r="N120" s="85" t="n">
        <v>90</v>
      </c>
      <c r="O120" s="90" t="n">
        <v>0</v>
      </c>
      <c r="P120" s="86" t="inlineStr"/>
      <c r="Q120" s="89" t="n">
        <v>46194</v>
      </c>
    </row>
    <row r="121" ht="18" customHeight="1">
      <c r="A121" s="84" t="inlineStr">
        <is>
          <t>SUP-0120</t>
        </is>
      </c>
      <c r="B121" s="71" t="inlineStr">
        <is>
          <t>EVT-2025-041</t>
        </is>
      </c>
      <c r="C121" s="70" t="inlineStr">
        <is>
          <t>Cognivex Congress Brussels Oct 2025</t>
        </is>
      </c>
      <c r="D121" s="70" t="inlineStr">
        <is>
          <t>Catering Excellence</t>
        </is>
      </c>
      <c r="E121" s="70" t="inlineStr">
        <is>
          <t>F&amp;B / Catering</t>
        </is>
      </c>
      <c r="F121" s="71" t="inlineStr">
        <is>
          <t>Terminated</t>
        </is>
      </c>
      <c r="G121" s="71" t="inlineStr">
        <is>
          <t>PO-2025-1120</t>
        </is>
      </c>
      <c r="H121" s="71" t="inlineStr">
        <is>
          <t>INV-01120</t>
        </is>
      </c>
      <c r="I121" s="73" t="n">
        <v>30954.54</v>
      </c>
      <c r="J121" s="71" t="inlineStr">
        <is>
          <t>EUR</t>
        </is>
      </c>
      <c r="K121" s="93" t="inlineStr">
        <is>
          <t>Overdue</t>
        </is>
      </c>
      <c r="L121" s="72" t="n">
        <v>45946</v>
      </c>
      <c r="M121" s="76" t="inlineStr">
        <is>
          <t>Medium</t>
        </is>
      </c>
      <c r="N121" s="71" t="n">
        <v>45</v>
      </c>
      <c r="O121" s="94" t="n">
        <v>251</v>
      </c>
      <c r="P121" s="70" t="inlineStr"/>
      <c r="Q121" s="72" t="n">
        <v>46174</v>
      </c>
    </row>
    <row r="122" ht="18" customHeight="1">
      <c r="A122" s="84" t="inlineStr">
        <is>
          <t>SUP-0121</t>
        </is>
      </c>
      <c r="B122" s="85" t="inlineStr">
        <is>
          <t>EVT-2025-042</t>
        </is>
      </c>
      <c r="C122" s="86" t="inlineStr">
        <is>
          <t>Antivex Launch Event Amsterdam Dec 2025</t>
        </is>
      </c>
      <c r="D122" s="86" t="inlineStr">
        <is>
          <t>Catering Excellence</t>
        </is>
      </c>
      <c r="E122" s="86" t="inlineStr">
        <is>
          <t>F&amp;B / Catering</t>
        </is>
      </c>
      <c r="F122" s="85" t="inlineStr">
        <is>
          <t>Terminated</t>
        </is>
      </c>
      <c r="G122" s="85" t="inlineStr">
        <is>
          <t>PO-2025-1121</t>
        </is>
      </c>
      <c r="H122" s="85" t="inlineStr"/>
      <c r="I122" s="87" t="n">
        <v>14504.36</v>
      </c>
      <c r="J122" s="85" t="inlineStr">
        <is>
          <t>EUR</t>
        </is>
      </c>
      <c r="K122" s="88" t="inlineStr">
        <is>
          <t>Approved</t>
        </is>
      </c>
      <c r="L122" s="89" t="n">
        <v>45986</v>
      </c>
      <c r="M122" s="93" t="inlineStr">
        <is>
          <t>High</t>
        </is>
      </c>
      <c r="N122" s="85" t="n">
        <v>90</v>
      </c>
      <c r="O122" s="90" t="n">
        <v>0</v>
      </c>
      <c r="P122" s="86" t="inlineStr"/>
      <c r="Q122" s="89" t="n">
        <v>46190</v>
      </c>
    </row>
    <row r="123" ht="18" customHeight="1">
      <c r="A123" s="84" t="inlineStr">
        <is>
          <t>SUP-0122</t>
        </is>
      </c>
      <c r="B123" s="71" t="inlineStr">
        <is>
          <t>EVT-2025-043</t>
        </is>
      </c>
      <c r="C123" s="70" t="inlineStr">
        <is>
          <t>Ferrozol Speaker Program Vienna Mar 2025</t>
        </is>
      </c>
      <c r="D123" s="70" t="inlineStr">
        <is>
          <t>InterCongress PCO</t>
        </is>
      </c>
      <c r="E123" s="70" t="inlineStr">
        <is>
          <t>PCO / Event Agency</t>
        </is>
      </c>
      <c r="F123" s="71" t="inlineStr">
        <is>
          <t>Signed</t>
        </is>
      </c>
      <c r="G123" s="71" t="inlineStr">
        <is>
          <t>PO-2025-1122</t>
        </is>
      </c>
      <c r="H123" s="71" t="inlineStr">
        <is>
          <t>INV-01122</t>
        </is>
      </c>
      <c r="I123" s="73" t="n">
        <v>34361.96</v>
      </c>
      <c r="J123" s="71" t="inlineStr">
        <is>
          <t>EUR</t>
        </is>
      </c>
      <c r="K123" s="88" t="inlineStr">
        <is>
          <t>Approved</t>
        </is>
      </c>
      <c r="L123" s="72" t="n">
        <v>45722</v>
      </c>
      <c r="M123" s="69" t="inlineStr">
        <is>
          <t>Low</t>
        </is>
      </c>
      <c r="N123" s="71" t="n">
        <v>60</v>
      </c>
      <c r="O123" s="91" t="n">
        <v>0</v>
      </c>
      <c r="P123" s="70" t="inlineStr"/>
      <c r="Q123" s="72" t="n">
        <v>46175</v>
      </c>
    </row>
    <row r="124" ht="18" customHeight="1">
      <c r="A124" s="84" t="inlineStr">
        <is>
          <t>SUP-0123</t>
        </is>
      </c>
      <c r="B124" s="85" t="inlineStr">
        <is>
          <t>EVT-2025-043</t>
        </is>
      </c>
      <c r="C124" s="86" t="inlineStr">
        <is>
          <t>Ferrozol Speaker Program Vienna Mar 2025</t>
        </is>
      </c>
      <c r="D124" s="86" t="inlineStr">
        <is>
          <t>Prime Hospitality Group</t>
        </is>
      </c>
      <c r="E124" s="86" t="inlineStr">
        <is>
          <t>Hotel &amp; Venue</t>
        </is>
      </c>
      <c r="F124" s="85" t="inlineStr">
        <is>
          <t>Terminated</t>
        </is>
      </c>
      <c r="G124" s="85" t="inlineStr">
        <is>
          <t>PO-2025-1123</t>
        </is>
      </c>
      <c r="H124" s="85" t="inlineStr">
        <is>
          <t>INV-01123</t>
        </is>
      </c>
      <c r="I124" s="87" t="n">
        <v>31243.19</v>
      </c>
      <c r="J124" s="85" t="inlineStr">
        <is>
          <t>EUR</t>
        </is>
      </c>
      <c r="K124" s="96" t="inlineStr">
        <is>
          <t>Pending</t>
        </is>
      </c>
      <c r="L124" s="89" t="n">
        <v>45734</v>
      </c>
      <c r="M124" s="69" t="inlineStr">
        <is>
          <t>Low</t>
        </is>
      </c>
      <c r="N124" s="85" t="n">
        <v>30</v>
      </c>
      <c r="O124" s="90" t="n">
        <v>0</v>
      </c>
      <c r="P124" s="86" t="inlineStr"/>
      <c r="Q124" s="89" t="n">
        <v>46168</v>
      </c>
    </row>
    <row r="125" ht="18" customHeight="1">
      <c r="A125" s="84" t="inlineStr">
        <is>
          <t>SUP-0124</t>
        </is>
      </c>
      <c r="B125" s="71" t="inlineStr">
        <is>
          <t>EVT-2025-043</t>
        </is>
      </c>
      <c r="C125" s="70" t="inlineStr">
        <is>
          <t>Ferrozol Speaker Program Vienna Mar 2025</t>
        </is>
      </c>
      <c r="D125" s="70" t="inlineStr">
        <is>
          <t>Translingua Pro</t>
        </is>
      </c>
      <c r="E125" s="70" t="inlineStr">
        <is>
          <t>Translation &amp; Interpretation</t>
        </is>
      </c>
      <c r="F125" s="71" t="inlineStr">
        <is>
          <t>Terminated</t>
        </is>
      </c>
      <c r="G125" s="71" t="inlineStr">
        <is>
          <t>PO-2025-1124</t>
        </is>
      </c>
      <c r="H125" s="71" t="inlineStr">
        <is>
          <t>INV-01124</t>
        </is>
      </c>
      <c r="I125" s="73" t="n">
        <v>28152.65</v>
      </c>
      <c r="J125" s="71" t="inlineStr">
        <is>
          <t>EUR</t>
        </is>
      </c>
      <c r="K125" s="95" t="inlineStr">
        <is>
          <t>Invoiced</t>
        </is>
      </c>
      <c r="L125" s="72" t="n">
        <v>45730</v>
      </c>
      <c r="M125" s="69" t="inlineStr">
        <is>
          <t>Low</t>
        </is>
      </c>
      <c r="N125" s="71" t="n">
        <v>90</v>
      </c>
      <c r="O125" s="91" t="n">
        <v>0</v>
      </c>
      <c r="P125" s="70" t="inlineStr"/>
      <c r="Q125" s="72" t="n">
        <v>46185</v>
      </c>
    </row>
    <row r="126" ht="18" customHeight="1">
      <c r="A126" s="84" t="inlineStr">
        <is>
          <t>SUP-0125</t>
        </is>
      </c>
      <c r="B126" s="85" t="inlineStr">
        <is>
          <t>EVT-2025-043</t>
        </is>
      </c>
      <c r="C126" s="86" t="inlineStr">
        <is>
          <t>Ferrozol Speaker Program Vienna Mar 2025</t>
        </is>
      </c>
      <c r="D126" s="86" t="inlineStr">
        <is>
          <t>PharmaLogix</t>
        </is>
      </c>
      <c r="E126" s="86" t="inlineStr">
        <is>
          <t>Logistics &amp; Transport</t>
        </is>
      </c>
      <c r="F126" s="85" t="inlineStr">
        <is>
          <t>RFP Sent</t>
        </is>
      </c>
      <c r="G126" s="85" t="inlineStr">
        <is>
          <t>PO-2025-1125</t>
        </is>
      </c>
      <c r="H126" s="85" t="inlineStr">
        <is>
          <t>INV-01125</t>
        </is>
      </c>
      <c r="I126" s="87" t="n">
        <v>66826.62</v>
      </c>
      <c r="J126" s="85" t="inlineStr">
        <is>
          <t>EUR</t>
        </is>
      </c>
      <c r="K126" s="93" t="inlineStr">
        <is>
          <t>Overdue</t>
        </is>
      </c>
      <c r="L126" s="89" t="n">
        <v>45712</v>
      </c>
      <c r="M126" s="69" t="inlineStr">
        <is>
          <t>Low</t>
        </is>
      </c>
      <c r="N126" s="85" t="n">
        <v>90</v>
      </c>
      <c r="O126" s="94" t="n">
        <v>485</v>
      </c>
      <c r="P126" s="86" t="inlineStr"/>
      <c r="Q126" s="89" t="n">
        <v>46167</v>
      </c>
    </row>
    <row r="127" ht="18" customHeight="1">
      <c r="A127" s="84" t="inlineStr">
        <is>
          <t>SUP-0126</t>
        </is>
      </c>
      <c r="B127" s="71" t="inlineStr">
        <is>
          <t>EVT-2025-044</t>
        </is>
      </c>
      <c r="C127" s="70" t="inlineStr">
        <is>
          <t>Vaccinade KOL Meeting Zurich Mar 2025</t>
        </is>
      </c>
      <c r="D127" s="70" t="inlineStr">
        <is>
          <t>AVIAWORLD Travel</t>
        </is>
      </c>
      <c r="E127" s="70" t="inlineStr">
        <is>
          <t>Travel &amp; Air</t>
        </is>
      </c>
      <c r="F127" s="71" t="inlineStr">
        <is>
          <t>Active</t>
        </is>
      </c>
      <c r="G127" s="71" t="inlineStr">
        <is>
          <t>PO-2025-1126</t>
        </is>
      </c>
      <c r="H127" s="71" t="inlineStr"/>
      <c r="I127" s="73" t="n">
        <v>67127.12</v>
      </c>
      <c r="J127" s="71" t="inlineStr">
        <is>
          <t>EUR</t>
        </is>
      </c>
      <c r="K127" s="93" t="inlineStr">
        <is>
          <t>Overdue</t>
        </is>
      </c>
      <c r="L127" s="72" t="n">
        <v>45715</v>
      </c>
      <c r="M127" s="93" t="inlineStr">
        <is>
          <t>High</t>
        </is>
      </c>
      <c r="N127" s="71" t="n">
        <v>60</v>
      </c>
      <c r="O127" s="94" t="n">
        <v>482</v>
      </c>
      <c r="P127" s="70" t="inlineStr"/>
      <c r="Q127" s="72" t="n">
        <v>46167</v>
      </c>
    </row>
    <row r="128" ht="18" customHeight="1">
      <c r="A128" s="84" t="inlineStr">
        <is>
          <t>SUP-0127</t>
        </is>
      </c>
      <c r="B128" s="85" t="inlineStr">
        <is>
          <t>EVT-2025-045</t>
        </is>
      </c>
      <c r="C128" s="86" t="inlineStr">
        <is>
          <t>Imunexal Symposium Brussels Jun 2025</t>
        </is>
      </c>
      <c r="D128" s="86" t="inlineStr">
        <is>
          <t>InterCongress PCO</t>
        </is>
      </c>
      <c r="E128" s="86" t="inlineStr">
        <is>
          <t>PCO / Event Agency</t>
        </is>
      </c>
      <c r="F128" s="85" t="inlineStr">
        <is>
          <t>Signed</t>
        </is>
      </c>
      <c r="G128" s="85" t="inlineStr">
        <is>
          <t>PO-2025-1127</t>
        </is>
      </c>
      <c r="H128" s="85" t="inlineStr">
        <is>
          <t>INV-01127</t>
        </is>
      </c>
      <c r="I128" s="87" t="n">
        <v>5724.46</v>
      </c>
      <c r="J128" s="85" t="inlineStr">
        <is>
          <t>EUR</t>
        </is>
      </c>
      <c r="K128" s="93" t="inlineStr">
        <is>
          <t>Overdue</t>
        </is>
      </c>
      <c r="L128" s="89" t="n">
        <v>45794</v>
      </c>
      <c r="M128" s="76" t="inlineStr">
        <is>
          <t>Medium</t>
        </is>
      </c>
      <c r="N128" s="85" t="n">
        <v>30</v>
      </c>
      <c r="O128" s="94" t="n">
        <v>403</v>
      </c>
      <c r="P128" s="86" t="inlineStr"/>
      <c r="Q128" s="89" t="n">
        <v>46197</v>
      </c>
    </row>
    <row r="129" ht="18" customHeight="1">
      <c r="A129" s="84" t="inlineStr">
        <is>
          <t>SUP-0128</t>
        </is>
      </c>
      <c r="B129" s="71" t="inlineStr">
        <is>
          <t>EVT-2025-045</t>
        </is>
      </c>
      <c r="C129" s="70" t="inlineStr">
        <is>
          <t>Imunexal Symposium Brussels Jun 2025</t>
        </is>
      </c>
      <c r="D129" s="70" t="inlineStr">
        <is>
          <t>Venue Masters EMEA</t>
        </is>
      </c>
      <c r="E129" s="70" t="inlineStr">
        <is>
          <t>Venue Sourcing</t>
        </is>
      </c>
      <c r="F129" s="71" t="inlineStr">
        <is>
          <t>Closed</t>
        </is>
      </c>
      <c r="G129" s="71" t="inlineStr">
        <is>
          <t>PO-2025-1128</t>
        </is>
      </c>
      <c r="H129" s="71" t="inlineStr"/>
      <c r="I129" s="73" t="n">
        <v>67261.64</v>
      </c>
      <c r="J129" s="71" t="inlineStr">
        <is>
          <t>EUR</t>
        </is>
      </c>
      <c r="K129" s="96" t="inlineStr">
        <is>
          <t>Pending</t>
        </is>
      </c>
      <c r="L129" s="72" t="n">
        <v>45792</v>
      </c>
      <c r="M129" s="69" t="inlineStr">
        <is>
          <t>Low</t>
        </is>
      </c>
      <c r="N129" s="71" t="n">
        <v>60</v>
      </c>
      <c r="O129" s="91" t="n">
        <v>0</v>
      </c>
      <c r="P129" s="70" t="inlineStr"/>
      <c r="Q129" s="72" t="n">
        <v>46191</v>
      </c>
    </row>
    <row r="130" ht="18" customHeight="1">
      <c r="A130" s="84" t="inlineStr">
        <is>
          <t>SUP-0129</t>
        </is>
      </c>
      <c r="B130" s="85" t="inlineStr">
        <is>
          <t>EVT-2025-045</t>
        </is>
      </c>
      <c r="C130" s="86" t="inlineStr">
        <is>
          <t>Imunexal Symposium Brussels Jun 2025</t>
        </is>
      </c>
      <c r="D130" s="86" t="inlineStr">
        <is>
          <t>Catering Excellence</t>
        </is>
      </c>
      <c r="E130" s="86" t="inlineStr">
        <is>
          <t>F&amp;B / Catering</t>
        </is>
      </c>
      <c r="F130" s="85" t="inlineStr">
        <is>
          <t>Active</t>
        </is>
      </c>
      <c r="G130" s="85" t="inlineStr">
        <is>
          <t>PO-2025-1129</t>
        </is>
      </c>
      <c r="H130" s="85" t="inlineStr">
        <is>
          <t>INV-01129</t>
        </is>
      </c>
      <c r="I130" s="87" t="n">
        <v>20871.17</v>
      </c>
      <c r="J130" s="85" t="inlineStr">
        <is>
          <t>EUR</t>
        </is>
      </c>
      <c r="K130" s="96" t="inlineStr">
        <is>
          <t>Pending</t>
        </is>
      </c>
      <c r="L130" s="89" t="n">
        <v>45803</v>
      </c>
      <c r="M130" s="69" t="inlineStr">
        <is>
          <t>Low</t>
        </is>
      </c>
      <c r="N130" s="85" t="n">
        <v>90</v>
      </c>
      <c r="O130" s="90" t="n">
        <v>0</v>
      </c>
      <c r="P130" s="86" t="inlineStr"/>
      <c r="Q130" s="89" t="n">
        <v>46171</v>
      </c>
    </row>
    <row r="131" ht="18" customHeight="1">
      <c r="A131" s="84" t="inlineStr">
        <is>
          <t>SUP-0130</t>
        </is>
      </c>
      <c r="B131" s="71" t="inlineStr">
        <is>
          <t>EVT-2025-045</t>
        </is>
      </c>
      <c r="C131" s="70" t="inlineStr">
        <is>
          <t>Imunexal Symposium Brussels Jun 2025</t>
        </is>
      </c>
      <c r="D131" s="70" t="inlineStr">
        <is>
          <t>Prime Hospitality Group</t>
        </is>
      </c>
      <c r="E131" s="70" t="inlineStr">
        <is>
          <t>Hotel &amp; Venue</t>
        </is>
      </c>
      <c r="F131" s="71" t="inlineStr">
        <is>
          <t>Active</t>
        </is>
      </c>
      <c r="G131" s="71" t="inlineStr">
        <is>
          <t>PO-2025-1130</t>
        </is>
      </c>
      <c r="H131" s="71" t="inlineStr">
        <is>
          <t>INV-01130</t>
        </is>
      </c>
      <c r="I131" s="73" t="n">
        <v>46511.77</v>
      </c>
      <c r="J131" s="71" t="inlineStr">
        <is>
          <t>EUR</t>
        </is>
      </c>
      <c r="K131" s="96" t="inlineStr">
        <is>
          <t>Pending</t>
        </is>
      </c>
      <c r="L131" s="72" t="n">
        <v>45802</v>
      </c>
      <c r="M131" s="76" t="inlineStr">
        <is>
          <t>Medium</t>
        </is>
      </c>
      <c r="N131" s="71" t="n">
        <v>45</v>
      </c>
      <c r="O131" s="91" t="n">
        <v>0</v>
      </c>
      <c r="P131" s="70" t="inlineStr"/>
      <c r="Q131" s="72" t="n">
        <v>46168</v>
      </c>
    </row>
    <row r="132" ht="18" customHeight="1">
      <c r="A132" s="84" t="inlineStr">
        <is>
          <t>SUP-0131</t>
        </is>
      </c>
      <c r="B132" s="85" t="inlineStr">
        <is>
          <t>EVT-2025-046</t>
        </is>
      </c>
      <c r="C132" s="86" t="inlineStr">
        <is>
          <t>Vaccinade Advisory Board Zurich Jun 2025</t>
        </is>
      </c>
      <c r="D132" s="86" t="inlineStr">
        <is>
          <t>InterCongress PCO</t>
        </is>
      </c>
      <c r="E132" s="86" t="inlineStr">
        <is>
          <t>PCO / Event Agency</t>
        </is>
      </c>
      <c r="F132" s="85" t="inlineStr">
        <is>
          <t>Signed</t>
        </is>
      </c>
      <c r="G132" s="85" t="inlineStr">
        <is>
          <t>PO-2025-1131</t>
        </is>
      </c>
      <c r="H132" s="85" t="inlineStr">
        <is>
          <t>INV-01131</t>
        </is>
      </c>
      <c r="I132" s="87" t="n">
        <v>79089.86</v>
      </c>
      <c r="J132" s="85" t="inlineStr">
        <is>
          <t>EUR</t>
        </is>
      </c>
      <c r="K132" s="92" t="inlineStr">
        <is>
          <t>Cancelled</t>
        </is>
      </c>
      <c r="L132" s="89" t="n">
        <v>45813</v>
      </c>
      <c r="M132" s="69" t="inlineStr">
        <is>
          <t>Low</t>
        </is>
      </c>
      <c r="N132" s="85" t="n">
        <v>60</v>
      </c>
      <c r="O132" s="90" t="n">
        <v>0</v>
      </c>
      <c r="P132" s="86" t="inlineStr"/>
      <c r="Q132" s="89" t="n">
        <v>46173</v>
      </c>
    </row>
    <row r="133" ht="18" customHeight="1">
      <c r="A133" s="84" t="inlineStr">
        <is>
          <t>SUP-0132</t>
        </is>
      </c>
      <c r="B133" s="71" t="inlineStr">
        <is>
          <t>EVT-2025-046</t>
        </is>
      </c>
      <c r="C133" s="70" t="inlineStr">
        <is>
          <t>Vaccinade Advisory Board Zurich Jun 2025</t>
        </is>
      </c>
      <c r="D133" s="70" t="inlineStr">
        <is>
          <t>PrintMed Solutions</t>
        </is>
      </c>
      <c r="E133" s="70" t="inlineStr">
        <is>
          <t>Print &amp; Production</t>
        </is>
      </c>
      <c r="F133" s="71" t="inlineStr">
        <is>
          <t>Contract Sent</t>
        </is>
      </c>
      <c r="G133" s="71" t="inlineStr">
        <is>
          <t>PO-2025-1132</t>
        </is>
      </c>
      <c r="H133" s="71" t="inlineStr"/>
      <c r="I133" s="73" t="n">
        <v>32176.74</v>
      </c>
      <c r="J133" s="71" t="inlineStr">
        <is>
          <t>EUR</t>
        </is>
      </c>
      <c r="K133" s="96" t="inlineStr">
        <is>
          <t>Pending</t>
        </is>
      </c>
      <c r="L133" s="72" t="n">
        <v>45819</v>
      </c>
      <c r="M133" s="69" t="inlineStr">
        <is>
          <t>Low</t>
        </is>
      </c>
      <c r="N133" s="71" t="n">
        <v>45</v>
      </c>
      <c r="O133" s="91" t="n">
        <v>0</v>
      </c>
      <c r="P133" s="70" t="inlineStr"/>
      <c r="Q133" s="72" t="n">
        <v>46173</v>
      </c>
    </row>
    <row r="134" ht="18" customHeight="1">
      <c r="A134" s="84" t="inlineStr">
        <is>
          <t>SUP-0133</t>
        </is>
      </c>
      <c r="B134" s="85" t="inlineStr">
        <is>
          <t>EVT-2025-046</t>
        </is>
      </c>
      <c r="C134" s="86" t="inlineStr">
        <is>
          <t>Vaccinade Advisory Board Zurich Jun 2025</t>
        </is>
      </c>
      <c r="D134" s="86" t="inlineStr">
        <is>
          <t>TechEvent Systems</t>
        </is>
      </c>
      <c r="E134" s="86" t="inlineStr">
        <is>
          <t>Registration &amp; Tech</t>
        </is>
      </c>
      <c r="F134" s="85" t="inlineStr">
        <is>
          <t>Terminated</t>
        </is>
      </c>
      <c r="G134" s="85" t="inlineStr">
        <is>
          <t>PO-2025-1133</t>
        </is>
      </c>
      <c r="H134" s="85" t="inlineStr">
        <is>
          <t>INV-01133</t>
        </is>
      </c>
      <c r="I134" s="87" t="n">
        <v>28894.59</v>
      </c>
      <c r="J134" s="85" t="inlineStr">
        <is>
          <t>EUR</t>
        </is>
      </c>
      <c r="K134" s="96" t="inlineStr">
        <is>
          <t>Pending</t>
        </is>
      </c>
      <c r="L134" s="89" t="n">
        <v>45807</v>
      </c>
      <c r="M134" s="76" t="inlineStr">
        <is>
          <t>Medium</t>
        </is>
      </c>
      <c r="N134" s="85" t="n">
        <v>45</v>
      </c>
      <c r="O134" s="90" t="n">
        <v>0</v>
      </c>
      <c r="P134" s="86" t="inlineStr"/>
      <c r="Q134" s="89" t="n">
        <v>46188</v>
      </c>
    </row>
    <row r="135" ht="18" customHeight="1">
      <c r="A135" s="84" t="inlineStr">
        <is>
          <t>SUP-0134</t>
        </is>
      </c>
      <c r="B135" s="71" t="inlineStr">
        <is>
          <t>EVT-2025-047</t>
        </is>
      </c>
      <c r="C135" s="70" t="inlineStr">
        <is>
          <t>Nexolimab Internal Meeting Milan Oct 2025</t>
        </is>
      </c>
      <c r="D135" s="70" t="inlineStr">
        <is>
          <t>KOL Connect</t>
        </is>
      </c>
      <c r="E135" s="70" t="inlineStr">
        <is>
          <t>Speaker Management</t>
        </is>
      </c>
      <c r="F135" s="71" t="inlineStr">
        <is>
          <t>Closed</t>
        </is>
      </c>
      <c r="G135" s="71" t="inlineStr">
        <is>
          <t>PO-2025-1134</t>
        </is>
      </c>
      <c r="H135" s="71" t="inlineStr">
        <is>
          <t>INV-01134</t>
        </is>
      </c>
      <c r="I135" s="73" t="n">
        <v>28406.69</v>
      </c>
      <c r="J135" s="71" t="inlineStr">
        <is>
          <t>EUR</t>
        </is>
      </c>
      <c r="K135" s="92" t="inlineStr">
        <is>
          <t>Cancelled</t>
        </is>
      </c>
      <c r="L135" s="72" t="n">
        <v>45928</v>
      </c>
      <c r="M135" s="69" t="inlineStr">
        <is>
          <t>Low</t>
        </is>
      </c>
      <c r="N135" s="71" t="n">
        <v>90</v>
      </c>
      <c r="O135" s="91" t="n">
        <v>0</v>
      </c>
      <c r="P135" s="70" t="inlineStr"/>
      <c r="Q135" s="72" t="n">
        <v>46192</v>
      </c>
    </row>
    <row r="136" ht="18" customHeight="1">
      <c r="A136" s="84" t="inlineStr">
        <is>
          <t>SUP-0135</t>
        </is>
      </c>
      <c r="B136" s="85" t="inlineStr">
        <is>
          <t>EVT-2025-047</t>
        </is>
      </c>
      <c r="C136" s="86" t="inlineStr">
        <is>
          <t>Nexolimab Internal Meeting Milan Oct 2025</t>
        </is>
      </c>
      <c r="D136" s="86" t="inlineStr">
        <is>
          <t>Venue Masters EMEA</t>
        </is>
      </c>
      <c r="E136" s="86" t="inlineStr">
        <is>
          <t>Venue Sourcing</t>
        </is>
      </c>
      <c r="F136" s="85" t="inlineStr">
        <is>
          <t>RFP Sent</t>
        </is>
      </c>
      <c r="G136" s="85" t="inlineStr">
        <is>
          <t>PO-2025-1135</t>
        </is>
      </c>
      <c r="H136" s="85" t="inlineStr">
        <is>
          <t>INV-01135</t>
        </is>
      </c>
      <c r="I136" s="87" t="n">
        <v>56240.36</v>
      </c>
      <c r="J136" s="85" t="inlineStr">
        <is>
          <t>EUR</t>
        </is>
      </c>
      <c r="K136" s="88" t="inlineStr">
        <is>
          <t>Approved</t>
        </is>
      </c>
      <c r="L136" s="89" t="n">
        <v>45928</v>
      </c>
      <c r="M136" s="69" t="inlineStr">
        <is>
          <t>Low</t>
        </is>
      </c>
      <c r="N136" s="85" t="n">
        <v>30</v>
      </c>
      <c r="O136" s="90" t="n">
        <v>0</v>
      </c>
      <c r="P136" s="86" t="inlineStr"/>
      <c r="Q136" s="89" t="n">
        <v>46192</v>
      </c>
    </row>
    <row r="137" ht="18" customHeight="1">
      <c r="A137" s="84" t="inlineStr">
        <is>
          <t>SUP-0136</t>
        </is>
      </c>
      <c r="B137" s="71" t="inlineStr">
        <is>
          <t>EVT-2025-047</t>
        </is>
      </c>
      <c r="C137" s="70" t="inlineStr">
        <is>
          <t>Nexolimab Internal Meeting Milan Oct 2025</t>
        </is>
      </c>
      <c r="D137" s="70" t="inlineStr">
        <is>
          <t>PharmaLogix</t>
        </is>
      </c>
      <c r="E137" s="70" t="inlineStr">
        <is>
          <t>Logistics &amp; Transport</t>
        </is>
      </c>
      <c r="F137" s="71" t="inlineStr">
        <is>
          <t>Terminated</t>
        </is>
      </c>
      <c r="G137" s="71" t="inlineStr">
        <is>
          <t>PO-2025-1136</t>
        </is>
      </c>
      <c r="H137" s="71" t="inlineStr">
        <is>
          <t>INV-01136</t>
        </is>
      </c>
      <c r="I137" s="73" t="n">
        <v>75601.2</v>
      </c>
      <c r="J137" s="71" t="inlineStr">
        <is>
          <t>EUR</t>
        </is>
      </c>
      <c r="K137" s="96" t="inlineStr">
        <is>
          <t>Pending</t>
        </is>
      </c>
      <c r="L137" s="72" t="n">
        <v>45947</v>
      </c>
      <c r="M137" s="69" t="inlineStr">
        <is>
          <t>Low</t>
        </is>
      </c>
      <c r="N137" s="71" t="n">
        <v>45</v>
      </c>
      <c r="O137" s="91" t="n">
        <v>0</v>
      </c>
      <c r="P137" s="70" t="inlineStr"/>
      <c r="Q137" s="72" t="n">
        <v>46174</v>
      </c>
    </row>
    <row r="138" ht="18" customHeight="1">
      <c r="A138" s="84" t="inlineStr">
        <is>
          <t>SUP-0137</t>
        </is>
      </c>
      <c r="B138" s="85" t="inlineStr">
        <is>
          <t>EVT-2025-047</t>
        </is>
      </c>
      <c r="C138" s="86" t="inlineStr">
        <is>
          <t>Nexolimab Internal Meeting Milan Oct 2025</t>
        </is>
      </c>
      <c r="D138" s="86" t="inlineStr">
        <is>
          <t>MedAudio AV Solutions</t>
        </is>
      </c>
      <c r="E138" s="86" t="inlineStr">
        <is>
          <t>AV &amp; Technology</t>
        </is>
      </c>
      <c r="F138" s="85" t="inlineStr">
        <is>
          <t>Active</t>
        </is>
      </c>
      <c r="G138" s="85" t="inlineStr">
        <is>
          <t>PO-2025-1137</t>
        </is>
      </c>
      <c r="H138" s="85" t="inlineStr"/>
      <c r="I138" s="87" t="n">
        <v>5268.66</v>
      </c>
      <c r="J138" s="85" t="inlineStr">
        <is>
          <t>EUR</t>
        </is>
      </c>
      <c r="K138" s="92" t="inlineStr">
        <is>
          <t>Cancelled</t>
        </is>
      </c>
      <c r="L138" s="89" t="n">
        <v>45939</v>
      </c>
      <c r="M138" s="69" t="inlineStr">
        <is>
          <t>Low</t>
        </is>
      </c>
      <c r="N138" s="85" t="n">
        <v>30</v>
      </c>
      <c r="O138" s="90" t="n">
        <v>0</v>
      </c>
      <c r="P138" s="86" t="inlineStr"/>
      <c r="Q138" s="89" t="n">
        <v>46185</v>
      </c>
    </row>
    <row r="139" ht="18" customHeight="1">
      <c r="A139" s="84" t="inlineStr">
        <is>
          <t>SUP-0138</t>
        </is>
      </c>
      <c r="B139" s="71" t="inlineStr">
        <is>
          <t>EVT-2025-047</t>
        </is>
      </c>
      <c r="C139" s="70" t="inlineStr">
        <is>
          <t>Nexolimab Internal Meeting Milan Oct 2025</t>
        </is>
      </c>
      <c r="D139" s="70" t="inlineStr">
        <is>
          <t>AVIAWORLD Travel</t>
        </is>
      </c>
      <c r="E139" s="70" t="inlineStr">
        <is>
          <t>Travel &amp; Air</t>
        </is>
      </c>
      <c r="F139" s="71" t="inlineStr">
        <is>
          <t>Terminated</t>
        </is>
      </c>
      <c r="G139" s="71" t="inlineStr">
        <is>
          <t>PO-2025-1138</t>
        </is>
      </c>
      <c r="H139" s="71" t="inlineStr">
        <is>
          <t>INV-01138</t>
        </is>
      </c>
      <c r="I139" s="73" t="n">
        <v>4856.42</v>
      </c>
      <c r="J139" s="71" t="inlineStr">
        <is>
          <t>EUR</t>
        </is>
      </c>
      <c r="K139" s="95" t="inlineStr">
        <is>
          <t>Invoiced</t>
        </is>
      </c>
      <c r="L139" s="72" t="n">
        <v>45928</v>
      </c>
      <c r="M139" s="69" t="inlineStr">
        <is>
          <t>Low</t>
        </is>
      </c>
      <c r="N139" s="71" t="n">
        <v>30</v>
      </c>
      <c r="O139" s="91" t="n">
        <v>0</v>
      </c>
      <c r="P139" s="70" t="inlineStr"/>
      <c r="Q139" s="72" t="n">
        <v>46184</v>
      </c>
    </row>
    <row r="140" ht="18" customHeight="1">
      <c r="A140" s="84" t="inlineStr">
        <is>
          <t>SUP-0139</t>
        </is>
      </c>
      <c r="B140" s="85" t="inlineStr">
        <is>
          <t>EVT-2025-048</t>
        </is>
      </c>
      <c r="C140" s="86" t="inlineStr">
        <is>
          <t>Vaccinade Satellite Symposium Budapest Mar 2025</t>
        </is>
      </c>
      <c r="D140" s="86" t="inlineStr">
        <is>
          <t>TechEvent Systems</t>
        </is>
      </c>
      <c r="E140" s="86" t="inlineStr">
        <is>
          <t>Registration &amp; Tech</t>
        </is>
      </c>
      <c r="F140" s="85" t="inlineStr">
        <is>
          <t>Closed</t>
        </is>
      </c>
      <c r="G140" s="85" t="inlineStr">
        <is>
          <t>PO-2025-1139</t>
        </is>
      </c>
      <c r="H140" s="85" t="inlineStr">
        <is>
          <t>INV-01139</t>
        </is>
      </c>
      <c r="I140" s="87" t="n">
        <v>23310.9</v>
      </c>
      <c r="J140" s="85" t="inlineStr">
        <is>
          <t>EUR</t>
        </is>
      </c>
      <c r="K140" s="69" t="inlineStr">
        <is>
          <t>Paid</t>
        </is>
      </c>
      <c r="L140" s="89" t="n">
        <v>45699</v>
      </c>
      <c r="M140" s="69" t="inlineStr">
        <is>
          <t>Low</t>
        </is>
      </c>
      <c r="N140" s="85" t="n">
        <v>60</v>
      </c>
      <c r="O140" s="90" t="n">
        <v>0</v>
      </c>
      <c r="P140" s="86" t="inlineStr"/>
      <c r="Q140" s="89" t="n">
        <v>46180</v>
      </c>
    </row>
    <row r="141" ht="18" customHeight="1">
      <c r="A141" s="84" t="inlineStr">
        <is>
          <t>SUP-0140</t>
        </is>
      </c>
      <c r="B141" s="71" t="inlineStr">
        <is>
          <t>EVT-2025-049</t>
        </is>
      </c>
      <c r="C141" s="70" t="inlineStr">
        <is>
          <t>Hemaflex Webinar Istanbul Dec 2025</t>
        </is>
      </c>
      <c r="D141" s="70" t="inlineStr">
        <is>
          <t>HealthMarketing Group</t>
        </is>
      </c>
      <c r="E141" s="70" t="inlineStr">
        <is>
          <t>Marketing Agency</t>
        </is>
      </c>
      <c r="F141" s="71" t="inlineStr">
        <is>
          <t>Closed</t>
        </is>
      </c>
      <c r="G141" s="71" t="inlineStr">
        <is>
          <t>PO-2025-1140</t>
        </is>
      </c>
      <c r="H141" s="71" t="inlineStr">
        <is>
          <t>INV-01140</t>
        </is>
      </c>
      <c r="I141" s="73" t="n">
        <v>40806.82</v>
      </c>
      <c r="J141" s="71" t="inlineStr">
        <is>
          <t>EUR</t>
        </is>
      </c>
      <c r="K141" s="96" t="inlineStr">
        <is>
          <t>Pending</t>
        </is>
      </c>
      <c r="L141" s="72" t="n">
        <v>45986</v>
      </c>
      <c r="M141" s="69" t="inlineStr">
        <is>
          <t>Low</t>
        </is>
      </c>
      <c r="N141" s="71" t="n">
        <v>60</v>
      </c>
      <c r="O141" s="91" t="n">
        <v>0</v>
      </c>
      <c r="P141" s="70" t="inlineStr"/>
      <c r="Q141" s="72" t="n">
        <v>46193</v>
      </c>
    </row>
    <row r="142" ht="18" customHeight="1">
      <c r="A142" s="84" t="inlineStr">
        <is>
          <t>SUP-0141</t>
        </is>
      </c>
      <c r="B142" s="85" t="inlineStr">
        <is>
          <t>EVT-2025-049</t>
        </is>
      </c>
      <c r="C142" s="86" t="inlineStr">
        <is>
          <t>Hemaflex Webinar Istanbul Dec 2025</t>
        </is>
      </c>
      <c r="D142" s="86" t="inlineStr">
        <is>
          <t>MedComm Agency</t>
        </is>
      </c>
      <c r="E142" s="86" t="inlineStr">
        <is>
          <t>Medical Communication</t>
        </is>
      </c>
      <c r="F142" s="85" t="inlineStr">
        <is>
          <t>RFP Sent</t>
        </is>
      </c>
      <c r="G142" s="85" t="inlineStr">
        <is>
          <t>PO-2025-1141</t>
        </is>
      </c>
      <c r="H142" s="85" t="inlineStr">
        <is>
          <t>INV-01141</t>
        </is>
      </c>
      <c r="I142" s="87" t="n">
        <v>35587.36</v>
      </c>
      <c r="J142" s="85" t="inlineStr">
        <is>
          <t>EUR</t>
        </is>
      </c>
      <c r="K142" s="95" t="inlineStr">
        <is>
          <t>Invoiced</t>
        </is>
      </c>
      <c r="L142" s="89" t="n">
        <v>45997</v>
      </c>
      <c r="M142" s="69" t="inlineStr">
        <is>
          <t>Low</t>
        </is>
      </c>
      <c r="N142" s="85" t="n">
        <v>45</v>
      </c>
      <c r="O142" s="90" t="n">
        <v>0</v>
      </c>
      <c r="P142" s="86" t="inlineStr"/>
      <c r="Q142" s="89" t="n">
        <v>46179</v>
      </c>
    </row>
    <row r="143" ht="18" customHeight="1">
      <c r="A143" s="84" t="inlineStr">
        <is>
          <t>SUP-0142</t>
        </is>
      </c>
      <c r="B143" s="71" t="inlineStr">
        <is>
          <t>EVT-2025-049</t>
        </is>
      </c>
      <c r="C143" s="70" t="inlineStr">
        <is>
          <t>Hemaflex Webinar Istanbul Dec 2025</t>
        </is>
      </c>
      <c r="D143" s="70" t="inlineStr">
        <is>
          <t>PharmaLogix</t>
        </is>
      </c>
      <c r="E143" s="70" t="inlineStr">
        <is>
          <t>Logistics &amp; Transport</t>
        </is>
      </c>
      <c r="F143" s="71" t="inlineStr">
        <is>
          <t>Signed</t>
        </is>
      </c>
      <c r="G143" s="71" t="inlineStr">
        <is>
          <t>PO-2025-1142</t>
        </is>
      </c>
      <c r="H143" s="71" t="inlineStr"/>
      <c r="I143" s="73" t="n">
        <v>53551.7</v>
      </c>
      <c r="J143" s="71" t="inlineStr">
        <is>
          <t>EUR</t>
        </is>
      </c>
      <c r="K143" s="76" t="inlineStr">
        <is>
          <t>Disputed</t>
        </is>
      </c>
      <c r="L143" s="72" t="n">
        <v>45993</v>
      </c>
      <c r="M143" s="69" t="inlineStr">
        <is>
          <t>Low</t>
        </is>
      </c>
      <c r="N143" s="71" t="n">
        <v>60</v>
      </c>
      <c r="O143" s="91" t="n">
        <v>0</v>
      </c>
      <c r="P143" s="70" t="inlineStr"/>
      <c r="Q143" s="72" t="n">
        <v>46197</v>
      </c>
    </row>
    <row r="144" ht="18" customHeight="1">
      <c r="A144" s="84" t="inlineStr">
        <is>
          <t>SUP-0143</t>
        </is>
      </c>
      <c r="B144" s="85" t="inlineStr">
        <is>
          <t>EVT-2025-049</t>
        </is>
      </c>
      <c r="C144" s="86" t="inlineStr">
        <is>
          <t>Hemaflex Webinar Istanbul Dec 2025</t>
        </is>
      </c>
      <c r="D144" s="86" t="inlineStr">
        <is>
          <t>MedAudio AV Solutions</t>
        </is>
      </c>
      <c r="E144" s="86" t="inlineStr">
        <is>
          <t>AV &amp; Technology</t>
        </is>
      </c>
      <c r="F144" s="85" t="inlineStr">
        <is>
          <t>Contract Sent</t>
        </is>
      </c>
      <c r="G144" s="85" t="inlineStr">
        <is>
          <t>PO-2025-1143</t>
        </is>
      </c>
      <c r="H144" s="85" t="inlineStr"/>
      <c r="I144" s="87" t="n">
        <v>36624.85</v>
      </c>
      <c r="J144" s="85" t="inlineStr">
        <is>
          <t>EUR</t>
        </is>
      </c>
      <c r="K144" s="92" t="inlineStr">
        <is>
          <t>Cancelled</t>
        </is>
      </c>
      <c r="L144" s="89" t="n">
        <v>45988</v>
      </c>
      <c r="M144" s="69" t="inlineStr">
        <is>
          <t>Low</t>
        </is>
      </c>
      <c r="N144" s="85" t="n">
        <v>60</v>
      </c>
      <c r="O144" s="90" t="n">
        <v>0</v>
      </c>
      <c r="P144" s="86" t="inlineStr"/>
      <c r="Q144" s="89" t="n">
        <v>46183</v>
      </c>
    </row>
    <row r="145" ht="18" customHeight="1">
      <c r="A145" s="84" t="inlineStr">
        <is>
          <t>SUP-0144</t>
        </is>
      </c>
      <c r="B145" s="71" t="inlineStr">
        <is>
          <t>EVT-2025-050</t>
        </is>
      </c>
      <c r="C145" s="70" t="inlineStr">
        <is>
          <t>Infectoban Launch Event Paris Jun 2025</t>
        </is>
      </c>
      <c r="D145" s="70" t="inlineStr">
        <is>
          <t>MedComm Agency</t>
        </is>
      </c>
      <c r="E145" s="70" t="inlineStr">
        <is>
          <t>Medical Communication</t>
        </is>
      </c>
      <c r="F145" s="71" t="inlineStr">
        <is>
          <t>Negotiating</t>
        </is>
      </c>
      <c r="G145" s="71" t="inlineStr">
        <is>
          <t>PO-2025-1144</t>
        </is>
      </c>
      <c r="H145" s="71" t="inlineStr">
        <is>
          <t>INV-01144</t>
        </is>
      </c>
      <c r="I145" s="73" t="n">
        <v>33684.4</v>
      </c>
      <c r="J145" s="71" t="inlineStr">
        <is>
          <t>EUR</t>
        </is>
      </c>
      <c r="K145" s="76" t="inlineStr">
        <is>
          <t>Disputed</t>
        </is>
      </c>
      <c r="L145" s="72" t="n">
        <v>45788</v>
      </c>
      <c r="M145" s="76" t="inlineStr">
        <is>
          <t>Medium</t>
        </is>
      </c>
      <c r="N145" s="71" t="n">
        <v>45</v>
      </c>
      <c r="O145" s="91" t="n">
        <v>0</v>
      </c>
      <c r="P145" s="70" t="inlineStr"/>
      <c r="Q145" s="72" t="n">
        <v>46196</v>
      </c>
    </row>
    <row r="146" ht="18" customHeight="1">
      <c r="A146" s="84" t="inlineStr">
        <is>
          <t>SUP-0145</t>
        </is>
      </c>
      <c r="B146" s="85" t="inlineStr">
        <is>
          <t>EVT-2025-050</t>
        </is>
      </c>
      <c r="C146" s="86" t="inlineStr">
        <is>
          <t>Infectoban Launch Event Paris Jun 2025</t>
        </is>
      </c>
      <c r="D146" s="86" t="inlineStr">
        <is>
          <t>Catering Excellence</t>
        </is>
      </c>
      <c r="E146" s="86" t="inlineStr">
        <is>
          <t>F&amp;B / Catering</t>
        </is>
      </c>
      <c r="F146" s="85" t="inlineStr">
        <is>
          <t>RFP Sent</t>
        </is>
      </c>
      <c r="G146" s="85" t="inlineStr">
        <is>
          <t>PO-2025-1145</t>
        </is>
      </c>
      <c r="H146" s="85" t="inlineStr">
        <is>
          <t>INV-01145</t>
        </is>
      </c>
      <c r="I146" s="87" t="n">
        <v>13136.8</v>
      </c>
      <c r="J146" s="85" t="inlineStr">
        <is>
          <t>EUR</t>
        </is>
      </c>
      <c r="K146" s="69" t="inlineStr">
        <is>
          <t>Paid</t>
        </is>
      </c>
      <c r="L146" s="89" t="n">
        <v>45785</v>
      </c>
      <c r="M146" s="76" t="inlineStr">
        <is>
          <t>Medium</t>
        </is>
      </c>
      <c r="N146" s="85" t="n">
        <v>45</v>
      </c>
      <c r="O146" s="90" t="n">
        <v>0</v>
      </c>
      <c r="P146" s="86" t="inlineStr"/>
      <c r="Q146" s="89" t="n">
        <v>46168</v>
      </c>
    </row>
    <row r="147" ht="18" customHeight="1">
      <c r="A147" s="84" t="inlineStr">
        <is>
          <t>SUP-0146</t>
        </is>
      </c>
      <c r="B147" s="71" t="inlineStr">
        <is>
          <t>EVT-2025-050</t>
        </is>
      </c>
      <c r="C147" s="70" t="inlineStr">
        <is>
          <t>Infectoban Launch Event Paris Jun 2025</t>
        </is>
      </c>
      <c r="D147" s="70" t="inlineStr">
        <is>
          <t>Compliance Expert Ltd</t>
        </is>
      </c>
      <c r="E147" s="70" t="inlineStr">
        <is>
          <t>Compliance &amp; Legal</t>
        </is>
      </c>
      <c r="F147" s="71" t="inlineStr">
        <is>
          <t>Active</t>
        </is>
      </c>
      <c r="G147" s="71" t="inlineStr">
        <is>
          <t>PO-2025-1146</t>
        </is>
      </c>
      <c r="H147" s="71" t="inlineStr"/>
      <c r="I147" s="73" t="n">
        <v>20407.64</v>
      </c>
      <c r="J147" s="71" t="inlineStr">
        <is>
          <t>EUR</t>
        </is>
      </c>
      <c r="K147" s="69" t="inlineStr">
        <is>
          <t>Paid</t>
        </is>
      </c>
      <c r="L147" s="72" t="n">
        <v>45784</v>
      </c>
      <c r="M147" s="69" t="inlineStr">
        <is>
          <t>Low</t>
        </is>
      </c>
      <c r="N147" s="71" t="n">
        <v>60</v>
      </c>
      <c r="O147" s="91" t="n">
        <v>0</v>
      </c>
      <c r="P147" s="70" t="inlineStr"/>
      <c r="Q147" s="72" t="n">
        <v>46178</v>
      </c>
    </row>
    <row r="148" ht="18" customHeight="1">
      <c r="A148" s="84" t="inlineStr">
        <is>
          <t>SUP-0147</t>
        </is>
      </c>
      <c r="B148" s="85" t="inlineStr">
        <is>
          <t>EVT-2025-050</t>
        </is>
      </c>
      <c r="C148" s="86" t="inlineStr">
        <is>
          <t>Infectoban Launch Event Paris Jun 2025</t>
        </is>
      </c>
      <c r="D148" s="86" t="inlineStr">
        <is>
          <t>AVIAWORLD Travel</t>
        </is>
      </c>
      <c r="E148" s="86" t="inlineStr">
        <is>
          <t>Travel &amp; Air</t>
        </is>
      </c>
      <c r="F148" s="85" t="inlineStr">
        <is>
          <t>Signed</t>
        </is>
      </c>
      <c r="G148" s="85" t="inlineStr">
        <is>
          <t>PO-2025-1147</t>
        </is>
      </c>
      <c r="H148" s="85" t="inlineStr"/>
      <c r="I148" s="87" t="n">
        <v>13968.18</v>
      </c>
      <c r="J148" s="85" t="inlineStr">
        <is>
          <t>EUR</t>
        </is>
      </c>
      <c r="K148" s="95" t="inlineStr">
        <is>
          <t>Invoiced</t>
        </is>
      </c>
      <c r="L148" s="89" t="n">
        <v>45790</v>
      </c>
      <c r="M148" s="93" t="inlineStr">
        <is>
          <t>High</t>
        </is>
      </c>
      <c r="N148" s="85" t="n">
        <v>30</v>
      </c>
      <c r="O148" s="90" t="n">
        <v>0</v>
      </c>
      <c r="P148" s="86" t="inlineStr"/>
      <c r="Q148" s="89" t="n">
        <v>46173</v>
      </c>
    </row>
    <row r="149" ht="18" customHeight="1">
      <c r="A149" s="84" t="inlineStr">
        <is>
          <t>SUP-0148</t>
        </is>
      </c>
      <c r="B149" s="71" t="inlineStr">
        <is>
          <t>EVT-2025-050</t>
        </is>
      </c>
      <c r="C149" s="70" t="inlineStr">
        <is>
          <t>Infectoban Launch Event Paris Jun 2025</t>
        </is>
      </c>
      <c r="D149" s="70" t="inlineStr">
        <is>
          <t>InterCongress PCO</t>
        </is>
      </c>
      <c r="E149" s="70" t="inlineStr">
        <is>
          <t>PCO / Event Agency</t>
        </is>
      </c>
      <c r="F149" s="71" t="inlineStr">
        <is>
          <t>Closed</t>
        </is>
      </c>
      <c r="G149" s="71" t="inlineStr">
        <is>
          <t>PO-2025-1148</t>
        </is>
      </c>
      <c r="H149" s="71" t="inlineStr">
        <is>
          <t>INV-01148</t>
        </is>
      </c>
      <c r="I149" s="73" t="n">
        <v>46765.9</v>
      </c>
      <c r="J149" s="71" t="inlineStr">
        <is>
          <t>EUR</t>
        </is>
      </c>
      <c r="K149" s="95" t="inlineStr">
        <is>
          <t>Invoiced</t>
        </is>
      </c>
      <c r="L149" s="72" t="n">
        <v>45788</v>
      </c>
      <c r="M149" s="69" t="inlineStr">
        <is>
          <t>Low</t>
        </is>
      </c>
      <c r="N149" s="71" t="n">
        <v>60</v>
      </c>
      <c r="O149" s="91" t="n">
        <v>0</v>
      </c>
      <c r="P149" s="70" t="inlineStr"/>
      <c r="Q149" s="72" t="n">
        <v>46182</v>
      </c>
    </row>
  </sheetData>
  <conditionalFormatting sqref="A2:Q149">
    <cfRule type="expression" priority="1" dxfId="1">
      <formula>$K2="Overdue"</formula>
    </cfRule>
    <cfRule type="expression" priority="2" dxfId="2">
      <formula>$M2="High"</formula>
    </cfRule>
  </conditionalFormatting>
  <dataValidations count="3">
    <dataValidation sqref="M2:M149" showDropDown="0" showInputMessage="0" showErrorMessage="0" allowBlank="0" type="list">
      <formula1>"Low,Medium,High"</formula1>
    </dataValidation>
    <dataValidation sqref="K2:K149" showDropDown="0" showInputMessage="0" showErrorMessage="0" allowBlank="0" type="list">
      <formula1>"Pending,Approved,Invoiced,Paid,Overdue,Disputed,Cancelled"</formula1>
    </dataValidation>
    <dataValidation sqref="F2:F149" showDropDown="0" showInputMessage="0" showErrorMessage="0" allowBlank="0" type="list">
      <formula1>"RFP Sent,Negotiating,Contract Sent,Signed,Active,Closed,Terminated"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0B0F0"/>
    <outlinePr summaryBelow="1" summaryRight="1"/>
    <pageSetUpPr/>
  </sheetPr>
  <dimension ref="A1:P55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20" customWidth="1" min="4" max="4"/>
    <col width="22" customWidth="1" min="5" max="5"/>
    <col width="18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  <col width="12" customWidth="1" min="14" max="14"/>
    <col width="12" customWidth="1" min="15" max="15"/>
    <col width="14" customWidth="1" min="16" max="16"/>
  </cols>
  <sheetData>
    <row r="1" ht="30" customHeight="1">
      <c r="A1" s="97" t="inlineStr">
        <is>
          <t>Record ID</t>
        </is>
      </c>
      <c r="B1" s="97" t="inlineStr">
        <is>
          <t>Event ID</t>
        </is>
      </c>
      <c r="C1" s="97" t="inlineStr">
        <is>
          <t>Event Name</t>
        </is>
      </c>
      <c r="D1" s="97" t="inlineStr">
        <is>
          <t>Therapeutic Area</t>
        </is>
      </c>
      <c r="E1" s="97" t="inlineStr">
        <is>
          <t>Business Unit</t>
        </is>
      </c>
      <c r="F1" s="97" t="inlineStr">
        <is>
          <t>Cost Category</t>
        </is>
      </c>
      <c r="G1" s="97" t="inlineStr">
        <is>
          <t>Month</t>
        </is>
      </c>
      <c r="H1" s="97" t="inlineStr">
        <is>
          <t>Quarter</t>
        </is>
      </c>
      <c r="I1" s="97" t="inlineStr">
        <is>
          <t>Budgeted (€)</t>
        </is>
      </c>
      <c r="J1" s="97" t="inlineStr">
        <is>
          <t>Committed (€)</t>
        </is>
      </c>
      <c r="K1" s="97" t="inlineStr">
        <is>
          <t>Actual (€)</t>
        </is>
      </c>
      <c r="L1" s="97" t="inlineStr">
        <is>
          <t>Variance (€)</t>
        </is>
      </c>
      <c r="M1" s="97" t="inlineStr">
        <is>
          <t>Variance %</t>
        </is>
      </c>
      <c r="N1" s="97" t="inlineStr">
        <is>
          <t>Absorption %</t>
        </is>
      </c>
      <c r="O1" s="97" t="inlineStr">
        <is>
          <t>Over/Under</t>
        </is>
      </c>
      <c r="P1" s="97" t="inlineStr">
        <is>
          <t>Status</t>
        </is>
      </c>
    </row>
    <row r="2" ht="16" customHeight="1">
      <c r="A2" s="98" t="inlineStr">
        <is>
          <t>CC-00001</t>
        </is>
      </c>
      <c r="B2" s="99" t="inlineStr">
        <is>
          <t>EVT-2025-001</t>
        </is>
      </c>
      <c r="C2" s="100" t="inlineStr">
        <is>
          <t>Cordavex Internal Meeting Vienna Apr 2025</t>
        </is>
      </c>
      <c r="D2" s="100" t="inlineStr">
        <is>
          <t>Cardiology</t>
        </is>
      </c>
      <c r="E2" s="100" t="inlineStr">
        <is>
          <t>BU Cardiovascular</t>
        </is>
      </c>
      <c r="F2" s="99" t="inlineStr">
        <is>
          <t>Airfare</t>
        </is>
      </c>
      <c r="G2" s="99" t="inlineStr">
        <is>
          <t>Apr-2025</t>
        </is>
      </c>
      <c r="H2" s="99" t="inlineStr">
        <is>
          <t>Q2 2025</t>
        </is>
      </c>
      <c r="I2" s="101" t="n">
        <v>35116.69</v>
      </c>
      <c r="J2" s="101" t="n">
        <v>25963.35</v>
      </c>
      <c r="K2" s="101" t="n">
        <v>25655.84</v>
      </c>
      <c r="L2" s="102" t="n">
        <v>9153.34</v>
      </c>
      <c r="M2" s="103" t="n">
        <v>0.2607</v>
      </c>
      <c r="N2" s="104" t="n">
        <v>0.7393450236910141</v>
      </c>
      <c r="O2" s="105" t="inlineStr">
        <is>
          <t>Under</t>
        </is>
      </c>
      <c r="P2" s="69" t="inlineStr">
        <is>
          <t>On Track</t>
        </is>
      </c>
    </row>
    <row r="3" ht="16" customHeight="1">
      <c r="A3" s="106" t="inlineStr">
        <is>
          <t>CC-00002</t>
        </is>
      </c>
      <c r="B3" s="71" t="inlineStr">
        <is>
          <t>EVT-2025-001</t>
        </is>
      </c>
      <c r="C3" s="70" t="inlineStr">
        <is>
          <t>Cordavex Internal Meeting Vienna Apr 2025</t>
        </is>
      </c>
      <c r="D3" s="70" t="inlineStr">
        <is>
          <t>Cardiology</t>
        </is>
      </c>
      <c r="E3" s="70" t="inlineStr">
        <is>
          <t>BU Cardiovascular</t>
        </is>
      </c>
      <c r="F3" s="71" t="inlineStr">
        <is>
          <t>Hotel</t>
        </is>
      </c>
      <c r="G3" s="71" t="inlineStr">
        <is>
          <t>Apr-2025</t>
        </is>
      </c>
      <c r="H3" s="71" t="inlineStr">
        <is>
          <t>Q2 2025</t>
        </is>
      </c>
      <c r="I3" s="73" t="n">
        <v>63210.04</v>
      </c>
      <c r="J3" s="73" t="n">
        <v>38745.02</v>
      </c>
      <c r="K3" s="73" t="n">
        <v>29284.04</v>
      </c>
      <c r="L3" s="80" t="n">
        <v>24465.02</v>
      </c>
      <c r="M3" s="78" t="n">
        <v>0.387</v>
      </c>
      <c r="N3" s="107" t="n">
        <v>0.6129567391509323</v>
      </c>
      <c r="O3" s="108" t="inlineStr">
        <is>
          <t>Under</t>
        </is>
      </c>
      <c r="P3" s="69" t="inlineStr">
        <is>
          <t>On Track</t>
        </is>
      </c>
    </row>
    <row r="4" ht="16" customHeight="1">
      <c r="A4" s="98" t="inlineStr">
        <is>
          <t>CC-00003</t>
        </is>
      </c>
      <c r="B4" s="99" t="inlineStr">
        <is>
          <t>EVT-2025-001</t>
        </is>
      </c>
      <c r="C4" s="100" t="inlineStr">
        <is>
          <t>Cordavex Internal Meeting Vienna Apr 2025</t>
        </is>
      </c>
      <c r="D4" s="100" t="inlineStr">
        <is>
          <t>Cardiology</t>
        </is>
      </c>
      <c r="E4" s="100" t="inlineStr">
        <is>
          <t>BU Cardiovascular</t>
        </is>
      </c>
      <c r="F4" s="99" t="inlineStr">
        <is>
          <t>Venue</t>
        </is>
      </c>
      <c r="G4" s="99" t="inlineStr">
        <is>
          <t>Apr-2025</t>
        </is>
      </c>
      <c r="H4" s="99" t="inlineStr">
        <is>
          <t>Q2 2025</t>
        </is>
      </c>
      <c r="I4" s="101" t="n">
        <v>52675.03</v>
      </c>
      <c r="J4" s="101" t="n">
        <v>45241.14</v>
      </c>
      <c r="K4" s="101" t="n">
        <v>44067.71</v>
      </c>
      <c r="L4" s="102" t="n">
        <v>7433.89</v>
      </c>
      <c r="M4" s="103" t="n">
        <v>0.1411</v>
      </c>
      <c r="N4" s="104" t="n">
        <v>0.8588726005471663</v>
      </c>
      <c r="O4" s="105" t="inlineStr">
        <is>
          <t>Under</t>
        </is>
      </c>
      <c r="P4" s="69" t="inlineStr">
        <is>
          <t>On Track</t>
        </is>
      </c>
    </row>
    <row r="5" ht="16" customHeight="1">
      <c r="A5" s="106" t="inlineStr">
        <is>
          <t>CC-00004</t>
        </is>
      </c>
      <c r="B5" s="71" t="inlineStr">
        <is>
          <t>EVT-2025-001</t>
        </is>
      </c>
      <c r="C5" s="70" t="inlineStr">
        <is>
          <t>Cordavex Internal Meeting Vienna Apr 2025</t>
        </is>
      </c>
      <c r="D5" s="70" t="inlineStr">
        <is>
          <t>Cardiology</t>
        </is>
      </c>
      <c r="E5" s="70" t="inlineStr">
        <is>
          <t>BU Cardiovascular</t>
        </is>
      </c>
      <c r="F5" s="71" t="inlineStr">
        <is>
          <t>F&amp;B</t>
        </is>
      </c>
      <c r="G5" s="71" t="inlineStr">
        <is>
          <t>Apr-2025</t>
        </is>
      </c>
      <c r="H5" s="71" t="inlineStr">
        <is>
          <t>Q2 2025</t>
        </is>
      </c>
      <c r="I5" s="73" t="n">
        <v>42140.03</v>
      </c>
      <c r="J5" s="73" t="n">
        <v>27765.24</v>
      </c>
      <c r="K5" s="73" t="n">
        <v>25890.79</v>
      </c>
      <c r="L5" s="80" t="n">
        <v>14374.79</v>
      </c>
      <c r="M5" s="78" t="n">
        <v>0.3411</v>
      </c>
      <c r="N5" s="107" t="n">
        <v>0.6588804042142353</v>
      </c>
      <c r="O5" s="108" t="inlineStr">
        <is>
          <t>Under</t>
        </is>
      </c>
      <c r="P5" s="69" t="inlineStr">
        <is>
          <t>On Track</t>
        </is>
      </c>
    </row>
    <row r="6" ht="16" customHeight="1">
      <c r="A6" s="98" t="inlineStr">
        <is>
          <t>CC-00005</t>
        </is>
      </c>
      <c r="B6" s="99" t="inlineStr">
        <is>
          <t>EVT-2025-001</t>
        </is>
      </c>
      <c r="C6" s="100" t="inlineStr">
        <is>
          <t>Cordavex Internal Meeting Vienna Apr 2025</t>
        </is>
      </c>
      <c r="D6" s="100" t="inlineStr">
        <is>
          <t>Cardiology</t>
        </is>
      </c>
      <c r="E6" s="100" t="inlineStr">
        <is>
          <t>BU Cardiovascular</t>
        </is>
      </c>
      <c r="F6" s="99" t="inlineStr">
        <is>
          <t>Logistics</t>
        </is>
      </c>
      <c r="G6" s="99" t="inlineStr">
        <is>
          <t>Apr-2025</t>
        </is>
      </c>
      <c r="H6" s="99" t="inlineStr">
        <is>
          <t>Q2 2025</t>
        </is>
      </c>
      <c r="I6" s="101" t="n">
        <v>21070.01</v>
      </c>
      <c r="J6" s="101" t="n">
        <v>20059.05</v>
      </c>
      <c r="K6" s="101" t="n">
        <v>15332.56</v>
      </c>
      <c r="L6" s="102" t="n">
        <v>1010.96</v>
      </c>
      <c r="M6" s="103" t="n">
        <v>0.048</v>
      </c>
      <c r="N6" s="104" t="n">
        <v>0.9520190071101058</v>
      </c>
      <c r="O6" s="105" t="inlineStr">
        <is>
          <t>Under</t>
        </is>
      </c>
      <c r="P6" s="69" t="inlineStr">
        <is>
          <t>On Track</t>
        </is>
      </c>
    </row>
    <row r="7" ht="16" customHeight="1">
      <c r="A7" s="106" t="inlineStr">
        <is>
          <t>CC-00006</t>
        </is>
      </c>
      <c r="B7" s="71" t="inlineStr">
        <is>
          <t>EVT-2025-001</t>
        </is>
      </c>
      <c r="C7" s="70" t="inlineStr">
        <is>
          <t>Cordavex Internal Meeting Vienna Apr 2025</t>
        </is>
      </c>
      <c r="D7" s="70" t="inlineStr">
        <is>
          <t>Cardiology</t>
        </is>
      </c>
      <c r="E7" s="70" t="inlineStr">
        <is>
          <t>BU Cardiovascular</t>
        </is>
      </c>
      <c r="F7" s="71" t="inlineStr">
        <is>
          <t>AV &amp; Technology</t>
        </is>
      </c>
      <c r="G7" s="71" t="inlineStr">
        <is>
          <t>Apr-2025</t>
        </is>
      </c>
      <c r="H7" s="71" t="inlineStr">
        <is>
          <t>Q2 2025</t>
        </is>
      </c>
      <c r="I7" s="73" t="n">
        <v>28093.35</v>
      </c>
      <c r="J7" s="73" t="n">
        <v>25450.85</v>
      </c>
      <c r="K7" s="73" t="n">
        <v>23114.31</v>
      </c>
      <c r="L7" s="80" t="n">
        <v>2642.5</v>
      </c>
      <c r="M7" s="78" t="n">
        <v>0.0941</v>
      </c>
      <c r="N7" s="107" t="n">
        <v>0.9059385940089024</v>
      </c>
      <c r="O7" s="108" t="inlineStr">
        <is>
          <t>Under</t>
        </is>
      </c>
      <c r="P7" s="69" t="inlineStr">
        <is>
          <t>On Track</t>
        </is>
      </c>
    </row>
    <row r="8" ht="16" customHeight="1">
      <c r="A8" s="98" t="inlineStr">
        <is>
          <t>CC-00007</t>
        </is>
      </c>
      <c r="B8" s="99" t="inlineStr">
        <is>
          <t>EVT-2025-001</t>
        </is>
      </c>
      <c r="C8" s="100" t="inlineStr">
        <is>
          <t>Cordavex Internal Meeting Vienna Apr 2025</t>
        </is>
      </c>
      <c r="D8" s="100" t="inlineStr">
        <is>
          <t>Cardiology</t>
        </is>
      </c>
      <c r="E8" s="100" t="inlineStr">
        <is>
          <t>BU Cardiovascular</t>
        </is>
      </c>
      <c r="F8" s="99" t="inlineStr">
        <is>
          <t>Agency Fees</t>
        </is>
      </c>
      <c r="G8" s="99" t="inlineStr">
        <is>
          <t>Apr-2025</t>
        </is>
      </c>
      <c r="H8" s="99" t="inlineStr">
        <is>
          <t>Q2 2025</t>
        </is>
      </c>
      <c r="I8" s="101" t="n">
        <v>49163.36</v>
      </c>
      <c r="J8" s="101" t="n">
        <v>54045.99</v>
      </c>
      <c r="K8" s="101" t="n">
        <v>41077.84</v>
      </c>
      <c r="L8" s="109" t="n">
        <v>-4882.63</v>
      </c>
      <c r="M8" s="110" t="n">
        <v>-0.0993</v>
      </c>
      <c r="N8" s="104" t="n">
        <v>1.09931440812833</v>
      </c>
      <c r="O8" s="111" t="inlineStr">
        <is>
          <t>Over</t>
        </is>
      </c>
      <c r="P8" s="76" t="inlineStr">
        <is>
          <t>Watch</t>
        </is>
      </c>
    </row>
    <row r="9" ht="16" customHeight="1">
      <c r="A9" s="106" t="inlineStr">
        <is>
          <t>CC-00008</t>
        </is>
      </c>
      <c r="B9" s="71" t="inlineStr">
        <is>
          <t>EVT-2025-001</t>
        </is>
      </c>
      <c r="C9" s="70" t="inlineStr">
        <is>
          <t>Cordavex Internal Meeting Vienna Apr 2025</t>
        </is>
      </c>
      <c r="D9" s="70" t="inlineStr">
        <is>
          <t>Cardiology</t>
        </is>
      </c>
      <c r="E9" s="70" t="inlineStr">
        <is>
          <t>BU Cardiovascular</t>
        </is>
      </c>
      <c r="F9" s="71" t="inlineStr">
        <is>
          <t>Speaker Fees</t>
        </is>
      </c>
      <c r="G9" s="71" t="inlineStr">
        <is>
          <t>Apr-2025</t>
        </is>
      </c>
      <c r="H9" s="71" t="inlineStr">
        <is>
          <t>Q2 2025</t>
        </is>
      </c>
      <c r="I9" s="73" t="n">
        <v>35116.69</v>
      </c>
      <c r="J9" s="73" t="n">
        <v>23453.18</v>
      </c>
      <c r="K9" s="73" t="n">
        <v>16938.25</v>
      </c>
      <c r="L9" s="80" t="n">
        <v>11663.51</v>
      </c>
      <c r="M9" s="78" t="n">
        <v>0.3321</v>
      </c>
      <c r="N9" s="107" t="n">
        <v>0.6678641979070351</v>
      </c>
      <c r="O9" s="108" t="inlineStr">
        <is>
          <t>Under</t>
        </is>
      </c>
      <c r="P9" s="69" t="inlineStr">
        <is>
          <t>On Track</t>
        </is>
      </c>
    </row>
    <row r="10" ht="16" customHeight="1">
      <c r="A10" s="98" t="inlineStr">
        <is>
          <t>CC-00009</t>
        </is>
      </c>
      <c r="B10" s="99" t="inlineStr">
        <is>
          <t>EVT-2025-001</t>
        </is>
      </c>
      <c r="C10" s="100" t="inlineStr">
        <is>
          <t>Cordavex Internal Meeting Vienna Apr 2025</t>
        </is>
      </c>
      <c r="D10" s="100" t="inlineStr">
        <is>
          <t>Cardiology</t>
        </is>
      </c>
      <c r="E10" s="100" t="inlineStr">
        <is>
          <t>BU Cardiovascular</t>
        </is>
      </c>
      <c r="F10" s="99" t="inlineStr">
        <is>
          <t>Translation</t>
        </is>
      </c>
      <c r="G10" s="99" t="inlineStr">
        <is>
          <t>Apr-2025</t>
        </is>
      </c>
      <c r="H10" s="99" t="inlineStr">
        <is>
          <t>Q2 2025</t>
        </is>
      </c>
      <c r="I10" s="101" t="n">
        <v>10535.01</v>
      </c>
      <c r="J10" s="101" t="n">
        <v>7230.47</v>
      </c>
      <c r="K10" s="101" t="n">
        <v>6608.73</v>
      </c>
      <c r="L10" s="102" t="n">
        <v>3304.54</v>
      </c>
      <c r="M10" s="103" t="n">
        <v>0.3137</v>
      </c>
      <c r="N10" s="104" t="n">
        <v>0.6863277775721143</v>
      </c>
      <c r="O10" s="105" t="inlineStr">
        <is>
          <t>Under</t>
        </is>
      </c>
      <c r="P10" s="69" t="inlineStr">
        <is>
          <t>On Track</t>
        </is>
      </c>
    </row>
    <row r="11" ht="16" customHeight="1">
      <c r="A11" s="106" t="inlineStr">
        <is>
          <t>CC-00010</t>
        </is>
      </c>
      <c r="B11" s="71" t="inlineStr">
        <is>
          <t>EVT-2025-001</t>
        </is>
      </c>
      <c r="C11" s="70" t="inlineStr">
        <is>
          <t>Cordavex Internal Meeting Vienna Apr 2025</t>
        </is>
      </c>
      <c r="D11" s="70" t="inlineStr">
        <is>
          <t>Cardiology</t>
        </is>
      </c>
      <c r="E11" s="70" t="inlineStr">
        <is>
          <t>BU Cardiovascular</t>
        </is>
      </c>
      <c r="F11" s="71" t="inlineStr">
        <is>
          <t>Print &amp; Production</t>
        </is>
      </c>
      <c r="G11" s="71" t="inlineStr">
        <is>
          <t>Apr-2025</t>
        </is>
      </c>
      <c r="H11" s="71" t="inlineStr">
        <is>
          <t>Q2 2025</t>
        </is>
      </c>
      <c r="I11" s="73" t="n">
        <v>7023.34</v>
      </c>
      <c r="J11" s="73" t="n">
        <v>7716.06</v>
      </c>
      <c r="K11" s="73" t="n">
        <v>7277.43</v>
      </c>
      <c r="L11" s="74" t="n">
        <v>-692.72</v>
      </c>
      <c r="M11" s="75" t="n">
        <v>-0.09859999999999999</v>
      </c>
      <c r="N11" s="107" t="n">
        <v>1.09863113561354</v>
      </c>
      <c r="O11" s="112" t="inlineStr">
        <is>
          <t>Over</t>
        </is>
      </c>
      <c r="P11" s="76" t="inlineStr">
        <is>
          <t>Watch</t>
        </is>
      </c>
    </row>
    <row r="12" ht="16" customHeight="1">
      <c r="A12" s="98" t="inlineStr">
        <is>
          <t>CC-00011</t>
        </is>
      </c>
      <c r="B12" s="99" t="inlineStr">
        <is>
          <t>EVT-2025-001</t>
        </is>
      </c>
      <c r="C12" s="100" t="inlineStr">
        <is>
          <t>Cordavex Internal Meeting Vienna Apr 2025</t>
        </is>
      </c>
      <c r="D12" s="100" t="inlineStr">
        <is>
          <t>Cardiology</t>
        </is>
      </c>
      <c r="E12" s="100" t="inlineStr">
        <is>
          <t>BU Cardiovascular</t>
        </is>
      </c>
      <c r="F12" s="99" t="inlineStr">
        <is>
          <t>Miscellaneous</t>
        </is>
      </c>
      <c r="G12" s="99" t="inlineStr">
        <is>
          <t>Apr-2025</t>
        </is>
      </c>
      <c r="H12" s="99" t="inlineStr">
        <is>
          <t>Q2 2025</t>
        </is>
      </c>
      <c r="I12" s="101" t="n">
        <v>7023.34</v>
      </c>
      <c r="J12" s="101" t="n">
        <v>7611.76</v>
      </c>
      <c r="K12" s="101" t="n">
        <v>7581.1</v>
      </c>
      <c r="L12" s="109" t="n">
        <v>-588.42</v>
      </c>
      <c r="M12" s="110" t="n">
        <v>-0.0838</v>
      </c>
      <c r="N12" s="104" t="n">
        <v>1.083780651371</v>
      </c>
      <c r="O12" s="111" t="inlineStr">
        <is>
          <t>Over</t>
        </is>
      </c>
      <c r="P12" s="76" t="inlineStr">
        <is>
          <t>Watch</t>
        </is>
      </c>
    </row>
    <row r="13" ht="16" customHeight="1">
      <c r="A13" s="106" t="inlineStr">
        <is>
          <t>CC-00012</t>
        </is>
      </c>
      <c r="B13" s="71" t="inlineStr">
        <is>
          <t>EVT-2025-002</t>
        </is>
      </c>
      <c r="C13" s="70" t="inlineStr">
        <is>
          <t>Eplitazan Investigator Meeting Barcelona Jan 2025</t>
        </is>
      </c>
      <c r="D13" s="70" t="inlineStr">
        <is>
          <t>Cardiology</t>
        </is>
      </c>
      <c r="E13" s="70" t="inlineStr">
        <is>
          <t>BU Cardiovascular</t>
        </is>
      </c>
      <c r="F13" s="71" t="inlineStr">
        <is>
          <t>Airfare</t>
        </is>
      </c>
      <c r="G13" s="71" t="inlineStr">
        <is>
          <t>Jan-2025</t>
        </is>
      </c>
      <c r="H13" s="71" t="inlineStr">
        <is>
          <t>Q1 2025</t>
        </is>
      </c>
      <c r="I13" s="73" t="n">
        <v>32732.37</v>
      </c>
      <c r="J13" s="73" t="n">
        <v>30569.41</v>
      </c>
      <c r="K13" s="73" t="n">
        <v>0</v>
      </c>
      <c r="L13" s="80" t="n">
        <v>2162.96</v>
      </c>
      <c r="M13" s="78" t="n">
        <v>0.06610000000000001</v>
      </c>
      <c r="N13" s="107" t="n">
        <v>0.9339198475393014</v>
      </c>
      <c r="O13" s="108" t="inlineStr">
        <is>
          <t>Under</t>
        </is>
      </c>
      <c r="P13" s="69" t="inlineStr">
        <is>
          <t>On Track</t>
        </is>
      </c>
    </row>
    <row r="14" ht="16" customHeight="1">
      <c r="A14" s="98" t="inlineStr">
        <is>
          <t>CC-00013</t>
        </is>
      </c>
      <c r="B14" s="99" t="inlineStr">
        <is>
          <t>EVT-2025-002</t>
        </is>
      </c>
      <c r="C14" s="100" t="inlineStr">
        <is>
          <t>Eplitazan Investigator Meeting Barcelona Jan 2025</t>
        </is>
      </c>
      <c r="D14" s="100" t="inlineStr">
        <is>
          <t>Cardiology</t>
        </is>
      </c>
      <c r="E14" s="100" t="inlineStr">
        <is>
          <t>BU Cardiovascular</t>
        </is>
      </c>
      <c r="F14" s="99" t="inlineStr">
        <is>
          <t>Hotel</t>
        </is>
      </c>
      <c r="G14" s="99" t="inlineStr">
        <is>
          <t>Jan-2025</t>
        </is>
      </c>
      <c r="H14" s="99" t="inlineStr">
        <is>
          <t>Q1 2025</t>
        </is>
      </c>
      <c r="I14" s="101" t="n">
        <v>58918.27</v>
      </c>
      <c r="J14" s="101" t="n">
        <v>56253.41</v>
      </c>
      <c r="K14" s="101" t="n">
        <v>0</v>
      </c>
      <c r="L14" s="102" t="n">
        <v>2664.86</v>
      </c>
      <c r="M14" s="103" t="n">
        <v>0.0452</v>
      </c>
      <c r="N14" s="104" t="n">
        <v>0.9547702266207071</v>
      </c>
      <c r="O14" s="105" t="inlineStr">
        <is>
          <t>Under</t>
        </is>
      </c>
      <c r="P14" s="69" t="inlineStr">
        <is>
          <t>On Track</t>
        </is>
      </c>
    </row>
    <row r="15" ht="16" customHeight="1">
      <c r="A15" s="106" t="inlineStr">
        <is>
          <t>CC-00014</t>
        </is>
      </c>
      <c r="B15" s="71" t="inlineStr">
        <is>
          <t>EVT-2025-002</t>
        </is>
      </c>
      <c r="C15" s="70" t="inlineStr">
        <is>
          <t>Eplitazan Investigator Meeting Barcelona Jan 2025</t>
        </is>
      </c>
      <c r="D15" s="70" t="inlineStr">
        <is>
          <t>Cardiology</t>
        </is>
      </c>
      <c r="E15" s="70" t="inlineStr">
        <is>
          <t>BU Cardiovascular</t>
        </is>
      </c>
      <c r="F15" s="71" t="inlineStr">
        <is>
          <t>Venue</t>
        </is>
      </c>
      <c r="G15" s="71" t="inlineStr">
        <is>
          <t>Jan-2025</t>
        </is>
      </c>
      <c r="H15" s="71" t="inlineStr">
        <is>
          <t>Q1 2025</t>
        </is>
      </c>
      <c r="I15" s="73" t="n">
        <v>49098.56</v>
      </c>
      <c r="J15" s="73" t="n">
        <v>42961.17</v>
      </c>
      <c r="K15" s="73" t="n">
        <v>0</v>
      </c>
      <c r="L15" s="80" t="n">
        <v>6137.39</v>
      </c>
      <c r="M15" s="78" t="n">
        <v>0.125</v>
      </c>
      <c r="N15" s="107" t="n">
        <v>0.8749985742962726</v>
      </c>
      <c r="O15" s="108" t="inlineStr">
        <is>
          <t>Under</t>
        </is>
      </c>
      <c r="P15" s="69" t="inlineStr">
        <is>
          <t>On Track</t>
        </is>
      </c>
    </row>
    <row r="16" ht="16" customHeight="1">
      <c r="A16" s="98" t="inlineStr">
        <is>
          <t>CC-00015</t>
        </is>
      </c>
      <c r="B16" s="99" t="inlineStr">
        <is>
          <t>EVT-2025-002</t>
        </is>
      </c>
      <c r="C16" s="100" t="inlineStr">
        <is>
          <t>Eplitazan Investigator Meeting Barcelona Jan 2025</t>
        </is>
      </c>
      <c r="D16" s="100" t="inlineStr">
        <is>
          <t>Cardiology</t>
        </is>
      </c>
      <c r="E16" s="100" t="inlineStr">
        <is>
          <t>BU Cardiovascular</t>
        </is>
      </c>
      <c r="F16" s="99" t="inlineStr">
        <is>
          <t>F&amp;B</t>
        </is>
      </c>
      <c r="G16" s="99" t="inlineStr">
        <is>
          <t>Jan-2025</t>
        </is>
      </c>
      <c r="H16" s="99" t="inlineStr">
        <is>
          <t>Q1 2025</t>
        </is>
      </c>
      <c r="I16" s="101" t="n">
        <v>39278.85</v>
      </c>
      <c r="J16" s="101" t="n">
        <v>29269.86</v>
      </c>
      <c r="K16" s="101" t="n">
        <v>0</v>
      </c>
      <c r="L16" s="102" t="n">
        <v>10008.99</v>
      </c>
      <c r="M16" s="103" t="n">
        <v>0.2548</v>
      </c>
      <c r="N16" s="104" t="n">
        <v>0.745181185294376</v>
      </c>
      <c r="O16" s="105" t="inlineStr">
        <is>
          <t>Under</t>
        </is>
      </c>
      <c r="P16" s="69" t="inlineStr">
        <is>
          <t>On Track</t>
        </is>
      </c>
    </row>
    <row r="17" ht="16" customHeight="1">
      <c r="A17" s="106" t="inlineStr">
        <is>
          <t>CC-00016</t>
        </is>
      </c>
      <c r="B17" s="71" t="inlineStr">
        <is>
          <t>EVT-2025-002</t>
        </is>
      </c>
      <c r="C17" s="70" t="inlineStr">
        <is>
          <t>Eplitazan Investigator Meeting Barcelona Jan 2025</t>
        </is>
      </c>
      <c r="D17" s="70" t="inlineStr">
        <is>
          <t>Cardiology</t>
        </is>
      </c>
      <c r="E17" s="70" t="inlineStr">
        <is>
          <t>BU Cardiovascular</t>
        </is>
      </c>
      <c r="F17" s="71" t="inlineStr">
        <is>
          <t>Logistics</t>
        </is>
      </c>
      <c r="G17" s="71" t="inlineStr">
        <is>
          <t>Jan-2025</t>
        </is>
      </c>
      <c r="H17" s="71" t="inlineStr">
        <is>
          <t>Q1 2025</t>
        </is>
      </c>
      <c r="I17" s="73" t="n">
        <v>19639.42</v>
      </c>
      <c r="J17" s="73" t="n">
        <v>14729.14</v>
      </c>
      <c r="K17" s="73" t="n">
        <v>0</v>
      </c>
      <c r="L17" s="80" t="n">
        <v>4910.28</v>
      </c>
      <c r="M17" s="78" t="n">
        <v>0.25</v>
      </c>
      <c r="N17" s="107" t="n">
        <v>0.7499783598497308</v>
      </c>
      <c r="O17" s="108" t="inlineStr">
        <is>
          <t>Under</t>
        </is>
      </c>
      <c r="P17" s="69" t="inlineStr">
        <is>
          <t>On Track</t>
        </is>
      </c>
    </row>
    <row r="18" ht="16" customHeight="1">
      <c r="A18" s="98" t="inlineStr">
        <is>
          <t>CC-00017</t>
        </is>
      </c>
      <c r="B18" s="99" t="inlineStr">
        <is>
          <t>EVT-2025-002</t>
        </is>
      </c>
      <c r="C18" s="100" t="inlineStr">
        <is>
          <t>Eplitazan Investigator Meeting Barcelona Jan 2025</t>
        </is>
      </c>
      <c r="D18" s="100" t="inlineStr">
        <is>
          <t>Cardiology</t>
        </is>
      </c>
      <c r="E18" s="100" t="inlineStr">
        <is>
          <t>BU Cardiovascular</t>
        </is>
      </c>
      <c r="F18" s="99" t="inlineStr">
        <is>
          <t>AV &amp; Technology</t>
        </is>
      </c>
      <c r="G18" s="99" t="inlineStr">
        <is>
          <t>Jan-2025</t>
        </is>
      </c>
      <c r="H18" s="99" t="inlineStr">
        <is>
          <t>Q1 2025</t>
        </is>
      </c>
      <c r="I18" s="101" t="n">
        <v>26185.9</v>
      </c>
      <c r="J18" s="101" t="n">
        <v>17773.75</v>
      </c>
      <c r="K18" s="101" t="n">
        <v>0</v>
      </c>
      <c r="L18" s="102" t="n">
        <v>8412.15</v>
      </c>
      <c r="M18" s="103" t="n">
        <v>0.3212</v>
      </c>
      <c r="N18" s="104" t="n">
        <v>0.6787526875150367</v>
      </c>
      <c r="O18" s="105" t="inlineStr">
        <is>
          <t>Under</t>
        </is>
      </c>
      <c r="P18" s="69" t="inlineStr">
        <is>
          <t>On Track</t>
        </is>
      </c>
    </row>
    <row r="19" ht="16" customHeight="1">
      <c r="A19" s="106" t="inlineStr">
        <is>
          <t>CC-00018</t>
        </is>
      </c>
      <c r="B19" s="71" t="inlineStr">
        <is>
          <t>EVT-2025-002</t>
        </is>
      </c>
      <c r="C19" s="70" t="inlineStr">
        <is>
          <t>Eplitazan Investigator Meeting Barcelona Jan 2025</t>
        </is>
      </c>
      <c r="D19" s="70" t="inlineStr">
        <is>
          <t>Cardiology</t>
        </is>
      </c>
      <c r="E19" s="70" t="inlineStr">
        <is>
          <t>BU Cardiovascular</t>
        </is>
      </c>
      <c r="F19" s="71" t="inlineStr">
        <is>
          <t>Agency Fees</t>
        </is>
      </c>
      <c r="G19" s="71" t="inlineStr">
        <is>
          <t>Jan-2025</t>
        </is>
      </c>
      <c r="H19" s="71" t="inlineStr">
        <is>
          <t>Q1 2025</t>
        </is>
      </c>
      <c r="I19" s="73" t="n">
        <v>45825.32</v>
      </c>
      <c r="J19" s="73" t="n">
        <v>43753.19</v>
      </c>
      <c r="K19" s="73" t="n">
        <v>0</v>
      </c>
      <c r="L19" s="80" t="n">
        <v>2072.13</v>
      </c>
      <c r="M19" s="78" t="n">
        <v>0.0452</v>
      </c>
      <c r="N19" s="107" t="n">
        <v>0.9547819851558047</v>
      </c>
      <c r="O19" s="108" t="inlineStr">
        <is>
          <t>Under</t>
        </is>
      </c>
      <c r="P19" s="69" t="inlineStr">
        <is>
          <t>On Track</t>
        </is>
      </c>
    </row>
    <row r="20" ht="16" customHeight="1">
      <c r="A20" s="98" t="inlineStr">
        <is>
          <t>CC-00019</t>
        </is>
      </c>
      <c r="B20" s="99" t="inlineStr">
        <is>
          <t>EVT-2025-002</t>
        </is>
      </c>
      <c r="C20" s="100" t="inlineStr">
        <is>
          <t>Eplitazan Investigator Meeting Barcelona Jan 2025</t>
        </is>
      </c>
      <c r="D20" s="100" t="inlineStr">
        <is>
          <t>Cardiology</t>
        </is>
      </c>
      <c r="E20" s="100" t="inlineStr">
        <is>
          <t>BU Cardiovascular</t>
        </is>
      </c>
      <c r="F20" s="99" t="inlineStr">
        <is>
          <t>Speaker Fees</t>
        </is>
      </c>
      <c r="G20" s="99" t="inlineStr">
        <is>
          <t>Jan-2025</t>
        </is>
      </c>
      <c r="H20" s="99" t="inlineStr">
        <is>
          <t>Q1 2025</t>
        </is>
      </c>
      <c r="I20" s="101" t="n">
        <v>32732.37</v>
      </c>
      <c r="J20" s="101" t="n">
        <v>31099.34</v>
      </c>
      <c r="K20" s="101" t="n">
        <v>0</v>
      </c>
      <c r="L20" s="102" t="n">
        <v>1633.03</v>
      </c>
      <c r="M20" s="103" t="n">
        <v>0.0499</v>
      </c>
      <c r="N20" s="104" t="n">
        <v>0.9501096315359994</v>
      </c>
      <c r="O20" s="105" t="inlineStr">
        <is>
          <t>Under</t>
        </is>
      </c>
      <c r="P20" s="69" t="inlineStr">
        <is>
          <t>On Track</t>
        </is>
      </c>
    </row>
    <row r="21" ht="16" customHeight="1">
      <c r="A21" s="106" t="inlineStr">
        <is>
          <t>CC-00020</t>
        </is>
      </c>
      <c r="B21" s="71" t="inlineStr">
        <is>
          <t>EVT-2025-002</t>
        </is>
      </c>
      <c r="C21" s="70" t="inlineStr">
        <is>
          <t>Eplitazan Investigator Meeting Barcelona Jan 2025</t>
        </is>
      </c>
      <c r="D21" s="70" t="inlineStr">
        <is>
          <t>Cardiology</t>
        </is>
      </c>
      <c r="E21" s="70" t="inlineStr">
        <is>
          <t>BU Cardiovascular</t>
        </is>
      </c>
      <c r="F21" s="71" t="inlineStr">
        <is>
          <t>Translation</t>
        </is>
      </c>
      <c r="G21" s="71" t="inlineStr">
        <is>
          <t>Jan-2025</t>
        </is>
      </c>
      <c r="H21" s="71" t="inlineStr">
        <is>
          <t>Q1 2025</t>
        </is>
      </c>
      <c r="I21" s="73" t="n">
        <v>9819.709999999999</v>
      </c>
      <c r="J21" s="73" t="n">
        <v>6746.59</v>
      </c>
      <c r="K21" s="73" t="n">
        <v>0</v>
      </c>
      <c r="L21" s="80" t="n">
        <v>3073.12</v>
      </c>
      <c r="M21" s="78" t="n">
        <v>0.313</v>
      </c>
      <c r="N21" s="107" t="n">
        <v>0.6870457477868491</v>
      </c>
      <c r="O21" s="108" t="inlineStr">
        <is>
          <t>Under</t>
        </is>
      </c>
      <c r="P21" s="69" t="inlineStr">
        <is>
          <t>On Track</t>
        </is>
      </c>
    </row>
    <row r="22" ht="16" customHeight="1">
      <c r="A22" s="98" t="inlineStr">
        <is>
          <t>CC-00021</t>
        </is>
      </c>
      <c r="B22" s="99" t="inlineStr">
        <is>
          <t>EVT-2025-002</t>
        </is>
      </c>
      <c r="C22" s="100" t="inlineStr">
        <is>
          <t>Eplitazan Investigator Meeting Barcelona Jan 2025</t>
        </is>
      </c>
      <c r="D22" s="100" t="inlineStr">
        <is>
          <t>Cardiology</t>
        </is>
      </c>
      <c r="E22" s="100" t="inlineStr">
        <is>
          <t>BU Cardiovascular</t>
        </is>
      </c>
      <c r="F22" s="99" t="inlineStr">
        <is>
          <t>Print &amp; Production</t>
        </is>
      </c>
      <c r="G22" s="99" t="inlineStr">
        <is>
          <t>Jan-2025</t>
        </is>
      </c>
      <c r="H22" s="99" t="inlineStr">
        <is>
          <t>Q1 2025</t>
        </is>
      </c>
      <c r="I22" s="101" t="n">
        <v>6546.47</v>
      </c>
      <c r="J22" s="101" t="n">
        <v>5111.13</v>
      </c>
      <c r="K22" s="101" t="n">
        <v>0</v>
      </c>
      <c r="L22" s="102" t="n">
        <v>1435.34</v>
      </c>
      <c r="M22" s="103" t="n">
        <v>0.2193</v>
      </c>
      <c r="N22" s="104" t="n">
        <v>0.7807459592727073</v>
      </c>
      <c r="O22" s="105" t="inlineStr">
        <is>
          <t>Under</t>
        </is>
      </c>
      <c r="P22" s="69" t="inlineStr">
        <is>
          <t>On Track</t>
        </is>
      </c>
    </row>
    <row r="23" ht="16" customHeight="1">
      <c r="A23" s="106" t="inlineStr">
        <is>
          <t>CC-00022</t>
        </is>
      </c>
      <c r="B23" s="71" t="inlineStr">
        <is>
          <t>EVT-2025-002</t>
        </is>
      </c>
      <c r="C23" s="70" t="inlineStr">
        <is>
          <t>Eplitazan Investigator Meeting Barcelona Jan 2025</t>
        </is>
      </c>
      <c r="D23" s="70" t="inlineStr">
        <is>
          <t>Cardiology</t>
        </is>
      </c>
      <c r="E23" s="70" t="inlineStr">
        <is>
          <t>BU Cardiovascular</t>
        </is>
      </c>
      <c r="F23" s="71" t="inlineStr">
        <is>
          <t>Miscellaneous</t>
        </is>
      </c>
      <c r="G23" s="71" t="inlineStr">
        <is>
          <t>Jan-2025</t>
        </is>
      </c>
      <c r="H23" s="71" t="inlineStr">
        <is>
          <t>Q1 2025</t>
        </is>
      </c>
      <c r="I23" s="73" t="n">
        <v>6546.47</v>
      </c>
      <c r="J23" s="73" t="n">
        <v>4661.88</v>
      </c>
      <c r="K23" s="73" t="n">
        <v>0</v>
      </c>
      <c r="L23" s="80" t="n">
        <v>1884.59</v>
      </c>
      <c r="M23" s="78" t="n">
        <v>0.2879</v>
      </c>
      <c r="N23" s="107" t="n">
        <v>0.7121211889766546</v>
      </c>
      <c r="O23" s="108" t="inlineStr">
        <is>
          <t>Under</t>
        </is>
      </c>
      <c r="P23" s="69" t="inlineStr">
        <is>
          <t>On Track</t>
        </is>
      </c>
    </row>
    <row r="24" ht="16" customHeight="1">
      <c r="A24" s="98" t="inlineStr">
        <is>
          <t>CC-00023</t>
        </is>
      </c>
      <c r="B24" s="99" t="inlineStr">
        <is>
          <t>EVT-2025-003</t>
        </is>
      </c>
      <c r="C24" s="100" t="inlineStr">
        <is>
          <t>Influximab Webinar Athens Apr 2025</t>
        </is>
      </c>
      <c r="D24" s="100" t="inlineStr">
        <is>
          <t>Immunology</t>
        </is>
      </c>
      <c r="E24" s="100" t="inlineStr">
        <is>
          <t>BU Immunology</t>
        </is>
      </c>
      <c r="F24" s="99" t="inlineStr">
        <is>
          <t>Airfare</t>
        </is>
      </c>
      <c r="G24" s="99" t="inlineStr">
        <is>
          <t>Apr-2025</t>
        </is>
      </c>
      <c r="H24" s="99" t="inlineStr">
        <is>
          <t>Q2 2025</t>
        </is>
      </c>
      <c r="I24" s="101" t="n">
        <v>41146</v>
      </c>
      <c r="J24" s="101" t="n">
        <v>44954.73</v>
      </c>
      <c r="K24" s="101" t="n">
        <v>42150.44</v>
      </c>
      <c r="L24" s="109" t="n">
        <v>-3808.73</v>
      </c>
      <c r="M24" s="110" t="n">
        <v>-0.0926</v>
      </c>
      <c r="N24" s="104" t="n">
        <v>1.092566227579838</v>
      </c>
      <c r="O24" s="111" t="inlineStr">
        <is>
          <t>Over</t>
        </is>
      </c>
      <c r="P24" s="76" t="inlineStr">
        <is>
          <t>Watch</t>
        </is>
      </c>
    </row>
    <row r="25" ht="16" customHeight="1">
      <c r="A25" s="106" t="inlineStr">
        <is>
          <t>CC-00024</t>
        </is>
      </c>
      <c r="B25" s="71" t="inlineStr">
        <is>
          <t>EVT-2025-003</t>
        </is>
      </c>
      <c r="C25" s="70" t="inlineStr">
        <is>
          <t>Influximab Webinar Athens Apr 2025</t>
        </is>
      </c>
      <c r="D25" s="70" t="inlineStr">
        <is>
          <t>Immunology</t>
        </is>
      </c>
      <c r="E25" s="70" t="inlineStr">
        <is>
          <t>BU Immunology</t>
        </is>
      </c>
      <c r="F25" s="71" t="inlineStr">
        <is>
          <t>Hotel</t>
        </is>
      </c>
      <c r="G25" s="71" t="inlineStr">
        <is>
          <t>Apr-2025</t>
        </is>
      </c>
      <c r="H25" s="71" t="inlineStr">
        <is>
          <t>Q2 2025</t>
        </is>
      </c>
      <c r="I25" s="73" t="n">
        <v>74062.81</v>
      </c>
      <c r="J25" s="73" t="n">
        <v>53204.36</v>
      </c>
      <c r="K25" s="73" t="n">
        <v>45128.29</v>
      </c>
      <c r="L25" s="80" t="n">
        <v>20858.45</v>
      </c>
      <c r="M25" s="78" t="n">
        <v>0.2816</v>
      </c>
      <c r="N25" s="107" t="n">
        <v>0.7183680986449205</v>
      </c>
      <c r="O25" s="108" t="inlineStr">
        <is>
          <t>Under</t>
        </is>
      </c>
      <c r="P25" s="69" t="inlineStr">
        <is>
          <t>On Track</t>
        </is>
      </c>
    </row>
    <row r="26" ht="16" customHeight="1">
      <c r="A26" s="98" t="inlineStr">
        <is>
          <t>CC-00025</t>
        </is>
      </c>
      <c r="B26" s="99" t="inlineStr">
        <is>
          <t>EVT-2025-003</t>
        </is>
      </c>
      <c r="C26" s="100" t="inlineStr">
        <is>
          <t>Influximab Webinar Athens Apr 2025</t>
        </is>
      </c>
      <c r="D26" s="100" t="inlineStr">
        <is>
          <t>Immunology</t>
        </is>
      </c>
      <c r="E26" s="100" t="inlineStr">
        <is>
          <t>BU Immunology</t>
        </is>
      </c>
      <c r="F26" s="99" t="inlineStr">
        <is>
          <t>Venue</t>
        </is>
      </c>
      <c r="G26" s="99" t="inlineStr">
        <is>
          <t>Apr-2025</t>
        </is>
      </c>
      <c r="H26" s="99" t="inlineStr">
        <is>
          <t>Q2 2025</t>
        </is>
      </c>
      <c r="I26" s="101" t="n">
        <v>61719</v>
      </c>
      <c r="J26" s="101" t="n">
        <v>48168.49</v>
      </c>
      <c r="K26" s="101" t="n">
        <v>41987.66</v>
      </c>
      <c r="L26" s="102" t="n">
        <v>13550.51</v>
      </c>
      <c r="M26" s="103" t="n">
        <v>0.2196</v>
      </c>
      <c r="N26" s="104" t="n">
        <v>0.7804483222346441</v>
      </c>
      <c r="O26" s="105" t="inlineStr">
        <is>
          <t>Under</t>
        </is>
      </c>
      <c r="P26" s="69" t="inlineStr">
        <is>
          <t>On Track</t>
        </is>
      </c>
    </row>
    <row r="27" ht="16" customHeight="1">
      <c r="A27" s="106" t="inlineStr">
        <is>
          <t>CC-00026</t>
        </is>
      </c>
      <c r="B27" s="71" t="inlineStr">
        <is>
          <t>EVT-2025-003</t>
        </is>
      </c>
      <c r="C27" s="70" t="inlineStr">
        <is>
          <t>Influximab Webinar Athens Apr 2025</t>
        </is>
      </c>
      <c r="D27" s="70" t="inlineStr">
        <is>
          <t>Immunology</t>
        </is>
      </c>
      <c r="E27" s="70" t="inlineStr">
        <is>
          <t>BU Immunology</t>
        </is>
      </c>
      <c r="F27" s="71" t="inlineStr">
        <is>
          <t>F&amp;B</t>
        </is>
      </c>
      <c r="G27" s="71" t="inlineStr">
        <is>
          <t>Apr-2025</t>
        </is>
      </c>
      <c r="H27" s="71" t="inlineStr">
        <is>
          <t>Q2 2025</t>
        </is>
      </c>
      <c r="I27" s="73" t="n">
        <v>49375.2</v>
      </c>
      <c r="J27" s="73" t="n">
        <v>41164.25</v>
      </c>
      <c r="K27" s="73" t="n">
        <v>40954.46</v>
      </c>
      <c r="L27" s="80" t="n">
        <v>8210.950000000001</v>
      </c>
      <c r="M27" s="78" t="n">
        <v>0.1663</v>
      </c>
      <c r="N27" s="107" t="n">
        <v>0.833702952089308</v>
      </c>
      <c r="O27" s="108" t="inlineStr">
        <is>
          <t>Under</t>
        </is>
      </c>
      <c r="P27" s="69" t="inlineStr">
        <is>
          <t>On Track</t>
        </is>
      </c>
    </row>
    <row r="28" ht="16" customHeight="1">
      <c r="A28" s="98" t="inlineStr">
        <is>
          <t>CC-00027</t>
        </is>
      </c>
      <c r="B28" s="99" t="inlineStr">
        <is>
          <t>EVT-2025-003</t>
        </is>
      </c>
      <c r="C28" s="100" t="inlineStr">
        <is>
          <t>Influximab Webinar Athens Apr 2025</t>
        </is>
      </c>
      <c r="D28" s="100" t="inlineStr">
        <is>
          <t>Immunology</t>
        </is>
      </c>
      <c r="E28" s="100" t="inlineStr">
        <is>
          <t>BU Immunology</t>
        </is>
      </c>
      <c r="F28" s="99" t="inlineStr">
        <is>
          <t>Logistics</t>
        </is>
      </c>
      <c r="G28" s="99" t="inlineStr">
        <is>
          <t>Apr-2025</t>
        </is>
      </c>
      <c r="H28" s="99" t="inlineStr">
        <is>
          <t>Q2 2025</t>
        </is>
      </c>
      <c r="I28" s="101" t="n">
        <v>24687.6</v>
      </c>
      <c r="J28" s="101" t="n">
        <v>16414.43</v>
      </c>
      <c r="K28" s="101" t="n">
        <v>15844.42</v>
      </c>
      <c r="L28" s="102" t="n">
        <v>8273.17</v>
      </c>
      <c r="M28" s="103" t="n">
        <v>0.3351</v>
      </c>
      <c r="N28" s="104" t="n">
        <v>0.6648856105899318</v>
      </c>
      <c r="O28" s="105" t="inlineStr">
        <is>
          <t>Under</t>
        </is>
      </c>
      <c r="P28" s="69" t="inlineStr">
        <is>
          <t>On Track</t>
        </is>
      </c>
    </row>
    <row r="29" ht="16" customHeight="1">
      <c r="A29" s="106" t="inlineStr">
        <is>
          <t>CC-00028</t>
        </is>
      </c>
      <c r="B29" s="71" t="inlineStr">
        <is>
          <t>EVT-2025-003</t>
        </is>
      </c>
      <c r="C29" s="70" t="inlineStr">
        <is>
          <t>Influximab Webinar Athens Apr 2025</t>
        </is>
      </c>
      <c r="D29" s="70" t="inlineStr">
        <is>
          <t>Immunology</t>
        </is>
      </c>
      <c r="E29" s="70" t="inlineStr">
        <is>
          <t>BU Immunology</t>
        </is>
      </c>
      <c r="F29" s="71" t="inlineStr">
        <is>
          <t>AV &amp; Technology</t>
        </is>
      </c>
      <c r="G29" s="71" t="inlineStr">
        <is>
          <t>Apr-2025</t>
        </is>
      </c>
      <c r="H29" s="71" t="inlineStr">
        <is>
          <t>Q2 2025</t>
        </is>
      </c>
      <c r="I29" s="73" t="n">
        <v>32916.8</v>
      </c>
      <c r="J29" s="73" t="n">
        <v>20832.19</v>
      </c>
      <c r="K29" s="73" t="n">
        <v>17070.9</v>
      </c>
      <c r="L29" s="80" t="n">
        <v>12084.61</v>
      </c>
      <c r="M29" s="78" t="n">
        <v>0.3671</v>
      </c>
      <c r="N29" s="107" t="n">
        <v>0.6328740946872113</v>
      </c>
      <c r="O29" s="108" t="inlineStr">
        <is>
          <t>Under</t>
        </is>
      </c>
      <c r="P29" s="69" t="inlineStr">
        <is>
          <t>On Track</t>
        </is>
      </c>
    </row>
    <row r="30" ht="16" customHeight="1">
      <c r="A30" s="98" t="inlineStr">
        <is>
          <t>CC-00029</t>
        </is>
      </c>
      <c r="B30" s="99" t="inlineStr">
        <is>
          <t>EVT-2025-003</t>
        </is>
      </c>
      <c r="C30" s="100" t="inlineStr">
        <is>
          <t>Influximab Webinar Athens Apr 2025</t>
        </is>
      </c>
      <c r="D30" s="100" t="inlineStr">
        <is>
          <t>Immunology</t>
        </is>
      </c>
      <c r="E30" s="100" t="inlineStr">
        <is>
          <t>BU Immunology</t>
        </is>
      </c>
      <c r="F30" s="99" t="inlineStr">
        <is>
          <t>Agency Fees</t>
        </is>
      </c>
      <c r="G30" s="99" t="inlineStr">
        <is>
          <t>Apr-2025</t>
        </is>
      </c>
      <c r="H30" s="99" t="inlineStr">
        <is>
          <t>Q2 2025</t>
        </is>
      </c>
      <c r="I30" s="101" t="n">
        <v>57604.4</v>
      </c>
      <c r="J30" s="101" t="n">
        <v>55211.9</v>
      </c>
      <c r="K30" s="101" t="n">
        <v>46576.73</v>
      </c>
      <c r="L30" s="102" t="n">
        <v>2392.5</v>
      </c>
      <c r="M30" s="103" t="n">
        <v>0.0415</v>
      </c>
      <c r="N30" s="104" t="n">
        <v>0.9584667143482095</v>
      </c>
      <c r="O30" s="105" t="inlineStr">
        <is>
          <t>Under</t>
        </is>
      </c>
      <c r="P30" s="69" t="inlineStr">
        <is>
          <t>On Track</t>
        </is>
      </c>
    </row>
    <row r="31" ht="16" customHeight="1">
      <c r="A31" s="106" t="inlineStr">
        <is>
          <t>CC-00030</t>
        </is>
      </c>
      <c r="B31" s="71" t="inlineStr">
        <is>
          <t>EVT-2025-003</t>
        </is>
      </c>
      <c r="C31" s="70" t="inlineStr">
        <is>
          <t>Influximab Webinar Athens Apr 2025</t>
        </is>
      </c>
      <c r="D31" s="70" t="inlineStr">
        <is>
          <t>Immunology</t>
        </is>
      </c>
      <c r="E31" s="70" t="inlineStr">
        <is>
          <t>BU Immunology</t>
        </is>
      </c>
      <c r="F31" s="71" t="inlineStr">
        <is>
          <t>Speaker Fees</t>
        </is>
      </c>
      <c r="G31" s="71" t="inlineStr">
        <is>
          <t>Apr-2025</t>
        </is>
      </c>
      <c r="H31" s="71" t="inlineStr">
        <is>
          <t>Q2 2025</t>
        </is>
      </c>
      <c r="I31" s="73" t="n">
        <v>41146</v>
      </c>
      <c r="J31" s="73" t="n">
        <v>33138.89</v>
      </c>
      <c r="K31" s="73" t="n">
        <v>27267.67</v>
      </c>
      <c r="L31" s="80" t="n">
        <v>8007.11</v>
      </c>
      <c r="M31" s="78" t="n">
        <v>0.1946</v>
      </c>
      <c r="N31" s="107" t="n">
        <v>0.8053976085160162</v>
      </c>
      <c r="O31" s="108" t="inlineStr">
        <is>
          <t>Under</t>
        </is>
      </c>
      <c r="P31" s="69" t="inlineStr">
        <is>
          <t>On Track</t>
        </is>
      </c>
    </row>
    <row r="32" ht="16" customHeight="1">
      <c r="A32" s="98" t="inlineStr">
        <is>
          <t>CC-00031</t>
        </is>
      </c>
      <c r="B32" s="99" t="inlineStr">
        <is>
          <t>EVT-2025-003</t>
        </is>
      </c>
      <c r="C32" s="100" t="inlineStr">
        <is>
          <t>Influximab Webinar Athens Apr 2025</t>
        </is>
      </c>
      <c r="D32" s="100" t="inlineStr">
        <is>
          <t>Immunology</t>
        </is>
      </c>
      <c r="E32" s="100" t="inlineStr">
        <is>
          <t>BU Immunology</t>
        </is>
      </c>
      <c r="F32" s="99" t="inlineStr">
        <is>
          <t>Translation</t>
        </is>
      </c>
      <c r="G32" s="99" t="inlineStr">
        <is>
          <t>Apr-2025</t>
        </is>
      </c>
      <c r="H32" s="99" t="inlineStr">
        <is>
          <t>Q2 2025</t>
        </is>
      </c>
      <c r="I32" s="101" t="n">
        <v>12343.8</v>
      </c>
      <c r="J32" s="101" t="n">
        <v>10954.51</v>
      </c>
      <c r="K32" s="101" t="n">
        <v>8080.03</v>
      </c>
      <c r="L32" s="102" t="n">
        <v>1389.29</v>
      </c>
      <c r="M32" s="103" t="n">
        <v>0.1125</v>
      </c>
      <c r="N32" s="104" t="n">
        <v>0.8874503799478282</v>
      </c>
      <c r="O32" s="105" t="inlineStr">
        <is>
          <t>Under</t>
        </is>
      </c>
      <c r="P32" s="69" t="inlineStr">
        <is>
          <t>On Track</t>
        </is>
      </c>
    </row>
    <row r="33" ht="16" customHeight="1">
      <c r="A33" s="106" t="inlineStr">
        <is>
          <t>CC-00032</t>
        </is>
      </c>
      <c r="B33" s="71" t="inlineStr">
        <is>
          <t>EVT-2025-003</t>
        </is>
      </c>
      <c r="C33" s="70" t="inlineStr">
        <is>
          <t>Influximab Webinar Athens Apr 2025</t>
        </is>
      </c>
      <c r="D33" s="70" t="inlineStr">
        <is>
          <t>Immunology</t>
        </is>
      </c>
      <c r="E33" s="70" t="inlineStr">
        <is>
          <t>BU Immunology</t>
        </is>
      </c>
      <c r="F33" s="71" t="inlineStr">
        <is>
          <t>Print &amp; Production</t>
        </is>
      </c>
      <c r="G33" s="71" t="inlineStr">
        <is>
          <t>Apr-2025</t>
        </is>
      </c>
      <c r="H33" s="71" t="inlineStr">
        <is>
          <t>Q2 2025</t>
        </is>
      </c>
      <c r="I33" s="73" t="n">
        <v>8229.200000000001</v>
      </c>
      <c r="J33" s="73" t="n">
        <v>6241.96</v>
      </c>
      <c r="K33" s="73" t="n">
        <v>4508.25</v>
      </c>
      <c r="L33" s="80" t="n">
        <v>1987.24</v>
      </c>
      <c r="M33" s="78" t="n">
        <v>0.2415</v>
      </c>
      <c r="N33" s="107" t="n">
        <v>0.7585135857677537</v>
      </c>
      <c r="O33" s="108" t="inlineStr">
        <is>
          <t>Under</t>
        </is>
      </c>
      <c r="P33" s="69" t="inlineStr">
        <is>
          <t>On Track</t>
        </is>
      </c>
    </row>
    <row r="34" ht="16" customHeight="1">
      <c r="A34" s="98" t="inlineStr">
        <is>
          <t>CC-00033</t>
        </is>
      </c>
      <c r="B34" s="99" t="inlineStr">
        <is>
          <t>EVT-2025-003</t>
        </is>
      </c>
      <c r="C34" s="100" t="inlineStr">
        <is>
          <t>Influximab Webinar Athens Apr 2025</t>
        </is>
      </c>
      <c r="D34" s="100" t="inlineStr">
        <is>
          <t>Immunology</t>
        </is>
      </c>
      <c r="E34" s="100" t="inlineStr">
        <is>
          <t>BU Immunology</t>
        </is>
      </c>
      <c r="F34" s="99" t="inlineStr">
        <is>
          <t>Miscellaneous</t>
        </is>
      </c>
      <c r="G34" s="99" t="inlineStr">
        <is>
          <t>Apr-2025</t>
        </is>
      </c>
      <c r="H34" s="99" t="inlineStr">
        <is>
          <t>Q2 2025</t>
        </is>
      </c>
      <c r="I34" s="101" t="n">
        <v>8229.200000000001</v>
      </c>
      <c r="J34" s="101" t="n">
        <v>6854.24</v>
      </c>
      <c r="K34" s="101" t="n">
        <v>5861.8</v>
      </c>
      <c r="L34" s="102" t="n">
        <v>1374.96</v>
      </c>
      <c r="M34" s="103" t="n">
        <v>0.1671</v>
      </c>
      <c r="N34" s="104" t="n">
        <v>0.8329169299567393</v>
      </c>
      <c r="O34" s="105" t="inlineStr">
        <is>
          <t>Under</t>
        </is>
      </c>
      <c r="P34" s="69" t="inlineStr">
        <is>
          <t>On Track</t>
        </is>
      </c>
    </row>
    <row r="35" ht="16" customHeight="1">
      <c r="A35" s="106" t="inlineStr">
        <is>
          <t>CC-00034</t>
        </is>
      </c>
      <c r="B35" s="71" t="inlineStr">
        <is>
          <t>EVT-2025-004</t>
        </is>
      </c>
      <c r="C35" s="70" t="inlineStr">
        <is>
          <t>Cognivex Investigator Meeting Stockholm May 2025</t>
        </is>
      </c>
      <c r="D35" s="70" t="inlineStr">
        <is>
          <t>Neurology</t>
        </is>
      </c>
      <c r="E35" s="70" t="inlineStr">
        <is>
          <t>BU Neuroscience</t>
        </is>
      </c>
      <c r="F35" s="71" t="inlineStr">
        <is>
          <t>Airfare</t>
        </is>
      </c>
      <c r="G35" s="71" t="inlineStr">
        <is>
          <t>May-2025</t>
        </is>
      </c>
      <c r="H35" s="71" t="inlineStr">
        <is>
          <t>Q2 2025</t>
        </is>
      </c>
      <c r="I35" s="73" t="n">
        <v>7515.29</v>
      </c>
      <c r="J35" s="73" t="n">
        <v>4991.41</v>
      </c>
      <c r="K35" s="73" t="n">
        <v>0</v>
      </c>
      <c r="L35" s="80" t="n">
        <v>2523.88</v>
      </c>
      <c r="M35" s="78" t="n">
        <v>0.3358</v>
      </c>
      <c r="N35" s="107" t="n">
        <v>0.6641673175619304</v>
      </c>
      <c r="O35" s="108" t="inlineStr">
        <is>
          <t>Under</t>
        </is>
      </c>
      <c r="P35" s="69" t="inlineStr">
        <is>
          <t>On Track</t>
        </is>
      </c>
    </row>
    <row r="36" ht="16" customHeight="1">
      <c r="A36" s="98" t="inlineStr">
        <is>
          <t>CC-00035</t>
        </is>
      </c>
      <c r="B36" s="99" t="inlineStr">
        <is>
          <t>EVT-2025-004</t>
        </is>
      </c>
      <c r="C36" s="100" t="inlineStr">
        <is>
          <t>Cognivex Investigator Meeting Stockholm May 2025</t>
        </is>
      </c>
      <c r="D36" s="100" t="inlineStr">
        <is>
          <t>Neurology</t>
        </is>
      </c>
      <c r="E36" s="100" t="inlineStr">
        <is>
          <t>BU Neuroscience</t>
        </is>
      </c>
      <c r="F36" s="99" t="inlineStr">
        <is>
          <t>Hotel</t>
        </is>
      </c>
      <c r="G36" s="99" t="inlineStr">
        <is>
          <t>May-2025</t>
        </is>
      </c>
      <c r="H36" s="99" t="inlineStr">
        <is>
          <t>Q2 2025</t>
        </is>
      </c>
      <c r="I36" s="101" t="n">
        <v>13527.51</v>
      </c>
      <c r="J36" s="101" t="n">
        <v>13724.02</v>
      </c>
      <c r="K36" s="101" t="n">
        <v>0</v>
      </c>
      <c r="L36" s="109" t="n">
        <v>-196.51</v>
      </c>
      <c r="M36" s="103" t="n">
        <v>-0.0145</v>
      </c>
      <c r="N36" s="104" t="n">
        <v>1.01452669412183</v>
      </c>
      <c r="O36" s="111" t="inlineStr">
        <is>
          <t>Over</t>
        </is>
      </c>
      <c r="P36" s="69" t="inlineStr">
        <is>
          <t>On Track</t>
        </is>
      </c>
    </row>
    <row r="37" ht="16" customHeight="1">
      <c r="A37" s="106" t="inlineStr">
        <is>
          <t>CC-00036</t>
        </is>
      </c>
      <c r="B37" s="71" t="inlineStr">
        <is>
          <t>EVT-2025-004</t>
        </is>
      </c>
      <c r="C37" s="70" t="inlineStr">
        <is>
          <t>Cognivex Investigator Meeting Stockholm May 2025</t>
        </is>
      </c>
      <c r="D37" s="70" t="inlineStr">
        <is>
          <t>Neurology</t>
        </is>
      </c>
      <c r="E37" s="70" t="inlineStr">
        <is>
          <t>BU Neuroscience</t>
        </is>
      </c>
      <c r="F37" s="71" t="inlineStr">
        <is>
          <t>Venue</t>
        </is>
      </c>
      <c r="G37" s="71" t="inlineStr">
        <is>
          <t>May-2025</t>
        </is>
      </c>
      <c r="H37" s="71" t="inlineStr">
        <is>
          <t>Q2 2025</t>
        </is>
      </c>
      <c r="I37" s="73" t="n">
        <v>11272.93</v>
      </c>
      <c r="J37" s="73" t="n">
        <v>9871.16</v>
      </c>
      <c r="K37" s="73" t="n">
        <v>0</v>
      </c>
      <c r="L37" s="80" t="n">
        <v>1401.77</v>
      </c>
      <c r="M37" s="78" t="n">
        <v>0.1243</v>
      </c>
      <c r="N37" s="107" t="n">
        <v>0.8756516717481613</v>
      </c>
      <c r="O37" s="108" t="inlineStr">
        <is>
          <t>Under</t>
        </is>
      </c>
      <c r="P37" s="69" t="inlineStr">
        <is>
          <t>On Track</t>
        </is>
      </c>
    </row>
    <row r="38" ht="16" customHeight="1">
      <c r="A38" s="98" t="inlineStr">
        <is>
          <t>CC-00037</t>
        </is>
      </c>
      <c r="B38" s="99" t="inlineStr">
        <is>
          <t>EVT-2025-004</t>
        </is>
      </c>
      <c r="C38" s="100" t="inlineStr">
        <is>
          <t>Cognivex Investigator Meeting Stockholm May 2025</t>
        </is>
      </c>
      <c r="D38" s="100" t="inlineStr">
        <is>
          <t>Neurology</t>
        </is>
      </c>
      <c r="E38" s="100" t="inlineStr">
        <is>
          <t>BU Neuroscience</t>
        </is>
      </c>
      <c r="F38" s="99" t="inlineStr">
        <is>
          <t>F&amp;B</t>
        </is>
      </c>
      <c r="G38" s="99" t="inlineStr">
        <is>
          <t>May-2025</t>
        </is>
      </c>
      <c r="H38" s="99" t="inlineStr">
        <is>
          <t>Q2 2025</t>
        </is>
      </c>
      <c r="I38" s="101" t="n">
        <v>9018.34</v>
      </c>
      <c r="J38" s="101" t="n">
        <v>8061.43</v>
      </c>
      <c r="K38" s="101" t="n">
        <v>0</v>
      </c>
      <c r="L38" s="102" t="n">
        <v>956.91</v>
      </c>
      <c r="M38" s="103" t="n">
        <v>0.1061</v>
      </c>
      <c r="N38" s="104" t="n">
        <v>0.8938928893787549</v>
      </c>
      <c r="O38" s="105" t="inlineStr">
        <is>
          <t>Under</t>
        </is>
      </c>
      <c r="P38" s="69" t="inlineStr">
        <is>
          <t>On Track</t>
        </is>
      </c>
    </row>
    <row r="39" ht="16" customHeight="1">
      <c r="A39" s="106" t="inlineStr">
        <is>
          <t>CC-00038</t>
        </is>
      </c>
      <c r="B39" s="71" t="inlineStr">
        <is>
          <t>EVT-2025-004</t>
        </is>
      </c>
      <c r="C39" s="70" t="inlineStr">
        <is>
          <t>Cognivex Investigator Meeting Stockholm May 2025</t>
        </is>
      </c>
      <c r="D39" s="70" t="inlineStr">
        <is>
          <t>Neurology</t>
        </is>
      </c>
      <c r="E39" s="70" t="inlineStr">
        <is>
          <t>BU Neuroscience</t>
        </is>
      </c>
      <c r="F39" s="71" t="inlineStr">
        <is>
          <t>Logistics</t>
        </is>
      </c>
      <c r="G39" s="71" t="inlineStr">
        <is>
          <t>May-2025</t>
        </is>
      </c>
      <c r="H39" s="71" t="inlineStr">
        <is>
          <t>Q2 2025</t>
        </is>
      </c>
      <c r="I39" s="73" t="n">
        <v>4509.17</v>
      </c>
      <c r="J39" s="73" t="n">
        <v>4436.53</v>
      </c>
      <c r="K39" s="73" t="n">
        <v>0</v>
      </c>
      <c r="L39" s="80" t="n">
        <v>72.64</v>
      </c>
      <c r="M39" s="78" t="n">
        <v>0.0161</v>
      </c>
      <c r="N39" s="107" t="n">
        <v>0.9838906051446275</v>
      </c>
      <c r="O39" s="108" t="inlineStr">
        <is>
          <t>Under</t>
        </is>
      </c>
      <c r="P39" s="69" t="inlineStr">
        <is>
          <t>On Track</t>
        </is>
      </c>
    </row>
    <row r="40" ht="16" customHeight="1">
      <c r="A40" s="98" t="inlineStr">
        <is>
          <t>CC-00039</t>
        </is>
      </c>
      <c r="B40" s="99" t="inlineStr">
        <is>
          <t>EVT-2025-004</t>
        </is>
      </c>
      <c r="C40" s="100" t="inlineStr">
        <is>
          <t>Cognivex Investigator Meeting Stockholm May 2025</t>
        </is>
      </c>
      <c r="D40" s="100" t="inlineStr">
        <is>
          <t>Neurology</t>
        </is>
      </c>
      <c r="E40" s="100" t="inlineStr">
        <is>
          <t>BU Neuroscience</t>
        </is>
      </c>
      <c r="F40" s="99" t="inlineStr">
        <is>
          <t>AV &amp; Technology</t>
        </is>
      </c>
      <c r="G40" s="99" t="inlineStr">
        <is>
          <t>May-2025</t>
        </is>
      </c>
      <c r="H40" s="99" t="inlineStr">
        <is>
          <t>Q2 2025</t>
        </is>
      </c>
      <c r="I40" s="101" t="n">
        <v>6012.23</v>
      </c>
      <c r="J40" s="101" t="n">
        <v>3995.23</v>
      </c>
      <c r="K40" s="101" t="n">
        <v>0</v>
      </c>
      <c r="L40" s="102" t="n">
        <v>2017</v>
      </c>
      <c r="M40" s="103" t="n">
        <v>0.3355</v>
      </c>
      <c r="N40" s="104" t="n">
        <v>0.6645171591905167</v>
      </c>
      <c r="O40" s="105" t="inlineStr">
        <is>
          <t>Under</t>
        </is>
      </c>
      <c r="P40" s="69" t="inlineStr">
        <is>
          <t>On Track</t>
        </is>
      </c>
    </row>
    <row r="41" ht="16" customHeight="1">
      <c r="A41" s="106" t="inlineStr">
        <is>
          <t>CC-00040</t>
        </is>
      </c>
      <c r="B41" s="71" t="inlineStr">
        <is>
          <t>EVT-2025-004</t>
        </is>
      </c>
      <c r="C41" s="70" t="inlineStr">
        <is>
          <t>Cognivex Investigator Meeting Stockholm May 2025</t>
        </is>
      </c>
      <c r="D41" s="70" t="inlineStr">
        <is>
          <t>Neurology</t>
        </is>
      </c>
      <c r="E41" s="70" t="inlineStr">
        <is>
          <t>BU Neuroscience</t>
        </is>
      </c>
      <c r="F41" s="71" t="inlineStr">
        <is>
          <t>Agency Fees</t>
        </is>
      </c>
      <c r="G41" s="71" t="inlineStr">
        <is>
          <t>May-2025</t>
        </is>
      </c>
      <c r="H41" s="71" t="inlineStr">
        <is>
          <t>Q2 2025</t>
        </is>
      </c>
      <c r="I41" s="73" t="n">
        <v>10521.4</v>
      </c>
      <c r="J41" s="73" t="n">
        <v>8958.26</v>
      </c>
      <c r="K41" s="73" t="n">
        <v>0</v>
      </c>
      <c r="L41" s="80" t="n">
        <v>1563.14</v>
      </c>
      <c r="M41" s="78" t="n">
        <v>0.1486</v>
      </c>
      <c r="N41" s="107" t="n">
        <v>0.851432318892923</v>
      </c>
      <c r="O41" s="108" t="inlineStr">
        <is>
          <t>Under</t>
        </is>
      </c>
      <c r="P41" s="69" t="inlineStr">
        <is>
          <t>On Track</t>
        </is>
      </c>
    </row>
    <row r="42" ht="16" customHeight="1">
      <c r="A42" s="98" t="inlineStr">
        <is>
          <t>CC-00041</t>
        </is>
      </c>
      <c r="B42" s="99" t="inlineStr">
        <is>
          <t>EVT-2025-004</t>
        </is>
      </c>
      <c r="C42" s="100" t="inlineStr">
        <is>
          <t>Cognivex Investigator Meeting Stockholm May 2025</t>
        </is>
      </c>
      <c r="D42" s="100" t="inlineStr">
        <is>
          <t>Neurology</t>
        </is>
      </c>
      <c r="E42" s="100" t="inlineStr">
        <is>
          <t>BU Neuroscience</t>
        </is>
      </c>
      <c r="F42" s="99" t="inlineStr">
        <is>
          <t>Speaker Fees</t>
        </is>
      </c>
      <c r="G42" s="99" t="inlineStr">
        <is>
          <t>May-2025</t>
        </is>
      </c>
      <c r="H42" s="99" t="inlineStr">
        <is>
          <t>Q2 2025</t>
        </is>
      </c>
      <c r="I42" s="101" t="n">
        <v>7515.29</v>
      </c>
      <c r="J42" s="101" t="n">
        <v>7771.61</v>
      </c>
      <c r="K42" s="101" t="n">
        <v>0</v>
      </c>
      <c r="L42" s="109" t="n">
        <v>-256.32</v>
      </c>
      <c r="M42" s="103" t="n">
        <v>-0.0341</v>
      </c>
      <c r="N42" s="104" t="n">
        <v>1.03410646828</v>
      </c>
      <c r="O42" s="111" t="inlineStr">
        <is>
          <t>Over</t>
        </is>
      </c>
      <c r="P42" s="69" t="inlineStr">
        <is>
          <t>On Track</t>
        </is>
      </c>
    </row>
    <row r="43" ht="16" customHeight="1">
      <c r="A43" s="106" t="inlineStr">
        <is>
          <t>CC-00042</t>
        </is>
      </c>
      <c r="B43" s="71" t="inlineStr">
        <is>
          <t>EVT-2025-004</t>
        </is>
      </c>
      <c r="C43" s="70" t="inlineStr">
        <is>
          <t>Cognivex Investigator Meeting Stockholm May 2025</t>
        </is>
      </c>
      <c r="D43" s="70" t="inlineStr">
        <is>
          <t>Neurology</t>
        </is>
      </c>
      <c r="E43" s="70" t="inlineStr">
        <is>
          <t>BU Neuroscience</t>
        </is>
      </c>
      <c r="F43" s="71" t="inlineStr">
        <is>
          <t>Translation</t>
        </is>
      </c>
      <c r="G43" s="71" t="inlineStr">
        <is>
          <t>May-2025</t>
        </is>
      </c>
      <c r="H43" s="71" t="inlineStr">
        <is>
          <t>Q2 2025</t>
        </is>
      </c>
      <c r="I43" s="73" t="n">
        <v>2254.59</v>
      </c>
      <c r="J43" s="73" t="n">
        <v>2289.98</v>
      </c>
      <c r="K43" s="73" t="n">
        <v>0</v>
      </c>
      <c r="L43" s="74" t="n">
        <v>-35.39</v>
      </c>
      <c r="M43" s="78" t="n">
        <v>-0.0157</v>
      </c>
      <c r="N43" s="107" t="n">
        <v>1.015696867279638</v>
      </c>
      <c r="O43" s="112" t="inlineStr">
        <is>
          <t>Over</t>
        </is>
      </c>
      <c r="P43" s="69" t="inlineStr">
        <is>
          <t>On Track</t>
        </is>
      </c>
    </row>
    <row r="44" ht="16" customHeight="1">
      <c r="A44" s="98" t="inlineStr">
        <is>
          <t>CC-00043</t>
        </is>
      </c>
      <c r="B44" s="99" t="inlineStr">
        <is>
          <t>EVT-2025-004</t>
        </is>
      </c>
      <c r="C44" s="100" t="inlineStr">
        <is>
          <t>Cognivex Investigator Meeting Stockholm May 2025</t>
        </is>
      </c>
      <c r="D44" s="100" t="inlineStr">
        <is>
          <t>Neurology</t>
        </is>
      </c>
      <c r="E44" s="100" t="inlineStr">
        <is>
          <t>BU Neuroscience</t>
        </is>
      </c>
      <c r="F44" s="99" t="inlineStr">
        <is>
          <t>Print &amp; Production</t>
        </is>
      </c>
      <c r="G44" s="99" t="inlineStr">
        <is>
          <t>May-2025</t>
        </is>
      </c>
      <c r="H44" s="99" t="inlineStr">
        <is>
          <t>Q2 2025</t>
        </is>
      </c>
      <c r="I44" s="101" t="n">
        <v>1503.06</v>
      </c>
      <c r="J44" s="101" t="n">
        <v>1291.21</v>
      </c>
      <c r="K44" s="101" t="n">
        <v>0</v>
      </c>
      <c r="L44" s="102" t="n">
        <v>211.85</v>
      </c>
      <c r="M44" s="103" t="n">
        <v>0.1409</v>
      </c>
      <c r="N44" s="104" t="n">
        <v>0.8590541961066093</v>
      </c>
      <c r="O44" s="105" t="inlineStr">
        <is>
          <t>Under</t>
        </is>
      </c>
      <c r="P44" s="69" t="inlineStr">
        <is>
          <t>On Track</t>
        </is>
      </c>
    </row>
    <row r="45" ht="16" customHeight="1">
      <c r="A45" s="106" t="inlineStr">
        <is>
          <t>CC-00044</t>
        </is>
      </c>
      <c r="B45" s="71" t="inlineStr">
        <is>
          <t>EVT-2025-004</t>
        </is>
      </c>
      <c r="C45" s="70" t="inlineStr">
        <is>
          <t>Cognivex Investigator Meeting Stockholm May 2025</t>
        </is>
      </c>
      <c r="D45" s="70" t="inlineStr">
        <is>
          <t>Neurology</t>
        </is>
      </c>
      <c r="E45" s="70" t="inlineStr">
        <is>
          <t>BU Neuroscience</t>
        </is>
      </c>
      <c r="F45" s="71" t="inlineStr">
        <is>
          <t>Miscellaneous</t>
        </is>
      </c>
      <c r="G45" s="71" t="inlineStr">
        <is>
          <t>May-2025</t>
        </is>
      </c>
      <c r="H45" s="71" t="inlineStr">
        <is>
          <t>Q2 2025</t>
        </is>
      </c>
      <c r="I45" s="73" t="n">
        <v>1503.06</v>
      </c>
      <c r="J45" s="73" t="n">
        <v>1130.39</v>
      </c>
      <c r="K45" s="73" t="n">
        <v>0</v>
      </c>
      <c r="L45" s="80" t="n">
        <v>372.67</v>
      </c>
      <c r="M45" s="78" t="n">
        <v>0.2479</v>
      </c>
      <c r="N45" s="107" t="n">
        <v>0.75205913270262</v>
      </c>
      <c r="O45" s="108" t="inlineStr">
        <is>
          <t>Under</t>
        </is>
      </c>
      <c r="P45" s="69" t="inlineStr">
        <is>
          <t>On Track</t>
        </is>
      </c>
    </row>
    <row r="46" ht="16" customHeight="1">
      <c r="A46" s="98" t="inlineStr">
        <is>
          <t>CC-00045</t>
        </is>
      </c>
      <c r="B46" s="99" t="inlineStr">
        <is>
          <t>EVT-2025-005</t>
        </is>
      </c>
      <c r="C46" s="100" t="inlineStr">
        <is>
          <t>Hemaflex Launch Event Brussels Nov 2025</t>
        </is>
      </c>
      <c r="D46" s="100" t="inlineStr">
        <is>
          <t>Hematology</t>
        </is>
      </c>
      <c r="E46" s="100" t="inlineStr">
        <is>
          <t>BU Oncology</t>
        </is>
      </c>
      <c r="F46" s="99" t="inlineStr">
        <is>
          <t>Airfare</t>
        </is>
      </c>
      <c r="G46" s="99" t="inlineStr">
        <is>
          <t>Nov-2025</t>
        </is>
      </c>
      <c r="H46" s="99" t="inlineStr">
        <is>
          <t>Q4 2025</t>
        </is>
      </c>
      <c r="I46" s="101" t="n">
        <v>24364.07</v>
      </c>
      <c r="J46" s="101" t="n">
        <v>16591.53</v>
      </c>
      <c r="K46" s="101" t="n">
        <v>0</v>
      </c>
      <c r="L46" s="102" t="n">
        <v>7772.54</v>
      </c>
      <c r="M46" s="103" t="n">
        <v>0.319</v>
      </c>
      <c r="N46" s="104" t="n">
        <v>0.6809835138382051</v>
      </c>
      <c r="O46" s="105" t="inlineStr">
        <is>
          <t>Under</t>
        </is>
      </c>
      <c r="P46" s="69" t="inlineStr">
        <is>
          <t>On Track</t>
        </is>
      </c>
    </row>
    <row r="47" ht="16" customHeight="1">
      <c r="A47" s="106" t="inlineStr">
        <is>
          <t>CC-00046</t>
        </is>
      </c>
      <c r="B47" s="71" t="inlineStr">
        <is>
          <t>EVT-2025-005</t>
        </is>
      </c>
      <c r="C47" s="70" t="inlineStr">
        <is>
          <t>Hemaflex Launch Event Brussels Nov 2025</t>
        </is>
      </c>
      <c r="D47" s="70" t="inlineStr">
        <is>
          <t>Hematology</t>
        </is>
      </c>
      <c r="E47" s="70" t="inlineStr">
        <is>
          <t>BU Oncology</t>
        </is>
      </c>
      <c r="F47" s="71" t="inlineStr">
        <is>
          <t>Hotel</t>
        </is>
      </c>
      <c r="G47" s="71" t="inlineStr">
        <is>
          <t>Nov-2025</t>
        </is>
      </c>
      <c r="H47" s="71" t="inlineStr">
        <is>
          <t>Q4 2025</t>
        </is>
      </c>
      <c r="I47" s="73" t="n">
        <v>43855.33</v>
      </c>
      <c r="J47" s="73" t="n">
        <v>46809.82</v>
      </c>
      <c r="K47" s="73" t="n">
        <v>0</v>
      </c>
      <c r="L47" s="74" t="n">
        <v>-2954.49</v>
      </c>
      <c r="M47" s="75" t="n">
        <v>-0.0674</v>
      </c>
      <c r="N47" s="107" t="n">
        <v>1.067369006230257</v>
      </c>
      <c r="O47" s="112" t="inlineStr">
        <is>
          <t>Over</t>
        </is>
      </c>
      <c r="P47" s="76" t="inlineStr">
        <is>
          <t>Watch</t>
        </is>
      </c>
    </row>
    <row r="48" ht="16" customHeight="1">
      <c r="A48" s="98" t="inlineStr">
        <is>
          <t>CC-00047</t>
        </is>
      </c>
      <c r="B48" s="99" t="inlineStr">
        <is>
          <t>EVT-2025-005</t>
        </is>
      </c>
      <c r="C48" s="100" t="inlineStr">
        <is>
          <t>Hemaflex Launch Event Brussels Nov 2025</t>
        </is>
      </c>
      <c r="D48" s="100" t="inlineStr">
        <is>
          <t>Hematology</t>
        </is>
      </c>
      <c r="E48" s="100" t="inlineStr">
        <is>
          <t>BU Oncology</t>
        </is>
      </c>
      <c r="F48" s="99" t="inlineStr">
        <is>
          <t>Venue</t>
        </is>
      </c>
      <c r="G48" s="99" t="inlineStr">
        <is>
          <t>Nov-2025</t>
        </is>
      </c>
      <c r="H48" s="99" t="inlineStr">
        <is>
          <t>Q4 2025</t>
        </is>
      </c>
      <c r="I48" s="101" t="n">
        <v>36546.11</v>
      </c>
      <c r="J48" s="101" t="n">
        <v>26047.7</v>
      </c>
      <c r="K48" s="101" t="n">
        <v>0</v>
      </c>
      <c r="L48" s="102" t="n">
        <v>10498.41</v>
      </c>
      <c r="M48" s="103" t="n">
        <v>0.2873</v>
      </c>
      <c r="N48" s="104" t="n">
        <v>0.7127352268134693</v>
      </c>
      <c r="O48" s="105" t="inlineStr">
        <is>
          <t>Under</t>
        </is>
      </c>
      <c r="P48" s="69" t="inlineStr">
        <is>
          <t>On Track</t>
        </is>
      </c>
    </row>
    <row r="49" ht="16" customHeight="1">
      <c r="A49" s="106" t="inlineStr">
        <is>
          <t>CC-00048</t>
        </is>
      </c>
      <c r="B49" s="71" t="inlineStr">
        <is>
          <t>EVT-2025-005</t>
        </is>
      </c>
      <c r="C49" s="70" t="inlineStr">
        <is>
          <t>Hemaflex Launch Event Brussels Nov 2025</t>
        </is>
      </c>
      <c r="D49" s="70" t="inlineStr">
        <is>
          <t>Hematology</t>
        </is>
      </c>
      <c r="E49" s="70" t="inlineStr">
        <is>
          <t>BU Oncology</t>
        </is>
      </c>
      <c r="F49" s="71" t="inlineStr">
        <is>
          <t>F&amp;B</t>
        </is>
      </c>
      <c r="G49" s="71" t="inlineStr">
        <is>
          <t>Nov-2025</t>
        </is>
      </c>
      <c r="H49" s="71" t="inlineStr">
        <is>
          <t>Q4 2025</t>
        </is>
      </c>
      <c r="I49" s="73" t="n">
        <v>29236.89</v>
      </c>
      <c r="J49" s="73" t="n">
        <v>31392.86</v>
      </c>
      <c r="K49" s="73" t="n">
        <v>0</v>
      </c>
      <c r="L49" s="74" t="n">
        <v>-2155.97</v>
      </c>
      <c r="M49" s="75" t="n">
        <v>-0.0737</v>
      </c>
      <c r="N49" s="107" t="n">
        <v>1.073741427354277</v>
      </c>
      <c r="O49" s="112" t="inlineStr">
        <is>
          <t>Over</t>
        </is>
      </c>
      <c r="P49" s="76" t="inlineStr">
        <is>
          <t>Watch</t>
        </is>
      </c>
    </row>
    <row r="50" ht="16" customHeight="1">
      <c r="A50" s="98" t="inlineStr">
        <is>
          <t>CC-00049</t>
        </is>
      </c>
      <c r="B50" s="99" t="inlineStr">
        <is>
          <t>EVT-2025-005</t>
        </is>
      </c>
      <c r="C50" s="100" t="inlineStr">
        <is>
          <t>Hemaflex Launch Event Brussels Nov 2025</t>
        </is>
      </c>
      <c r="D50" s="100" t="inlineStr">
        <is>
          <t>Hematology</t>
        </is>
      </c>
      <c r="E50" s="100" t="inlineStr">
        <is>
          <t>BU Oncology</t>
        </is>
      </c>
      <c r="F50" s="99" t="inlineStr">
        <is>
          <t>Logistics</t>
        </is>
      </c>
      <c r="G50" s="99" t="inlineStr">
        <is>
          <t>Nov-2025</t>
        </is>
      </c>
      <c r="H50" s="99" t="inlineStr">
        <is>
          <t>Q4 2025</t>
        </is>
      </c>
      <c r="I50" s="101" t="n">
        <v>14618.44</v>
      </c>
      <c r="J50" s="101" t="n">
        <v>12563.8</v>
      </c>
      <c r="K50" s="101" t="n">
        <v>0</v>
      </c>
      <c r="L50" s="102" t="n">
        <v>2054.64</v>
      </c>
      <c r="M50" s="103" t="n">
        <v>0.1406</v>
      </c>
      <c r="N50" s="104" t="n">
        <v>0.8594487510295216</v>
      </c>
      <c r="O50" s="105" t="inlineStr">
        <is>
          <t>Under</t>
        </is>
      </c>
      <c r="P50" s="69" t="inlineStr">
        <is>
          <t>On Track</t>
        </is>
      </c>
    </row>
    <row r="51" ht="16" customHeight="1">
      <c r="A51" s="106" t="inlineStr">
        <is>
          <t>CC-00050</t>
        </is>
      </c>
      <c r="B51" s="71" t="inlineStr">
        <is>
          <t>EVT-2025-005</t>
        </is>
      </c>
      <c r="C51" s="70" t="inlineStr">
        <is>
          <t>Hemaflex Launch Event Brussels Nov 2025</t>
        </is>
      </c>
      <c r="D51" s="70" t="inlineStr">
        <is>
          <t>Hematology</t>
        </is>
      </c>
      <c r="E51" s="70" t="inlineStr">
        <is>
          <t>BU Oncology</t>
        </is>
      </c>
      <c r="F51" s="71" t="inlineStr">
        <is>
          <t>AV &amp; Technology</t>
        </is>
      </c>
      <c r="G51" s="71" t="inlineStr">
        <is>
          <t>Nov-2025</t>
        </is>
      </c>
      <c r="H51" s="71" t="inlineStr">
        <is>
          <t>Q4 2025</t>
        </is>
      </c>
      <c r="I51" s="73" t="n">
        <v>19491.26</v>
      </c>
      <c r="J51" s="73" t="n">
        <v>14462.99</v>
      </c>
      <c r="K51" s="73" t="n">
        <v>0</v>
      </c>
      <c r="L51" s="80" t="n">
        <v>5028.27</v>
      </c>
      <c r="M51" s="78" t="n">
        <v>0.258</v>
      </c>
      <c r="N51" s="107" t="n">
        <v>0.7420243740014756</v>
      </c>
      <c r="O51" s="108" t="inlineStr">
        <is>
          <t>Under</t>
        </is>
      </c>
      <c r="P51" s="69" t="inlineStr">
        <is>
          <t>On Track</t>
        </is>
      </c>
    </row>
    <row r="52" ht="16" customHeight="1">
      <c r="A52" s="98" t="inlineStr">
        <is>
          <t>CC-00051</t>
        </is>
      </c>
      <c r="B52" s="99" t="inlineStr">
        <is>
          <t>EVT-2025-005</t>
        </is>
      </c>
      <c r="C52" s="100" t="inlineStr">
        <is>
          <t>Hemaflex Launch Event Brussels Nov 2025</t>
        </is>
      </c>
      <c r="D52" s="100" t="inlineStr">
        <is>
          <t>Hematology</t>
        </is>
      </c>
      <c r="E52" s="100" t="inlineStr">
        <is>
          <t>BU Oncology</t>
        </is>
      </c>
      <c r="F52" s="99" t="inlineStr">
        <is>
          <t>Agency Fees</t>
        </is>
      </c>
      <c r="G52" s="99" t="inlineStr">
        <is>
          <t>Nov-2025</t>
        </is>
      </c>
      <c r="H52" s="99" t="inlineStr">
        <is>
          <t>Q4 2025</t>
        </is>
      </c>
      <c r="I52" s="101" t="n">
        <v>34109.7</v>
      </c>
      <c r="J52" s="101" t="n">
        <v>21810.76</v>
      </c>
      <c r="K52" s="101" t="n">
        <v>0</v>
      </c>
      <c r="L52" s="102" t="n">
        <v>12298.94</v>
      </c>
      <c r="M52" s="103" t="n">
        <v>0.3606</v>
      </c>
      <c r="N52" s="104" t="n">
        <v>0.6394298396057426</v>
      </c>
      <c r="O52" s="105" t="inlineStr">
        <is>
          <t>Under</t>
        </is>
      </c>
      <c r="P52" s="69" t="inlineStr">
        <is>
          <t>On Track</t>
        </is>
      </c>
    </row>
    <row r="53" ht="16" customHeight="1">
      <c r="A53" s="106" t="inlineStr">
        <is>
          <t>CC-00052</t>
        </is>
      </c>
      <c r="B53" s="71" t="inlineStr">
        <is>
          <t>EVT-2025-005</t>
        </is>
      </c>
      <c r="C53" s="70" t="inlineStr">
        <is>
          <t>Hemaflex Launch Event Brussels Nov 2025</t>
        </is>
      </c>
      <c r="D53" s="70" t="inlineStr">
        <is>
          <t>Hematology</t>
        </is>
      </c>
      <c r="E53" s="70" t="inlineStr">
        <is>
          <t>BU Oncology</t>
        </is>
      </c>
      <c r="F53" s="71" t="inlineStr">
        <is>
          <t>Speaker Fees</t>
        </is>
      </c>
      <c r="G53" s="71" t="inlineStr">
        <is>
          <t>Nov-2025</t>
        </is>
      </c>
      <c r="H53" s="71" t="inlineStr">
        <is>
          <t>Q4 2025</t>
        </is>
      </c>
      <c r="I53" s="73" t="n">
        <v>24364.07</v>
      </c>
      <c r="J53" s="73" t="n">
        <v>17009.8</v>
      </c>
      <c r="K53" s="73" t="n">
        <v>0</v>
      </c>
      <c r="L53" s="80" t="n">
        <v>7354.27</v>
      </c>
      <c r="M53" s="78" t="n">
        <v>0.3018</v>
      </c>
      <c r="N53" s="107" t="n">
        <v>0.6981510067899165</v>
      </c>
      <c r="O53" s="108" t="inlineStr">
        <is>
          <t>Under</t>
        </is>
      </c>
      <c r="P53" s="69" t="inlineStr">
        <is>
          <t>On Track</t>
        </is>
      </c>
    </row>
    <row r="54" ht="16" customHeight="1">
      <c r="A54" s="98" t="inlineStr">
        <is>
          <t>CC-00053</t>
        </is>
      </c>
      <c r="B54" s="99" t="inlineStr">
        <is>
          <t>EVT-2025-005</t>
        </is>
      </c>
      <c r="C54" s="100" t="inlineStr">
        <is>
          <t>Hemaflex Launch Event Brussels Nov 2025</t>
        </is>
      </c>
      <c r="D54" s="100" t="inlineStr">
        <is>
          <t>Hematology</t>
        </is>
      </c>
      <c r="E54" s="100" t="inlineStr">
        <is>
          <t>BU Oncology</t>
        </is>
      </c>
      <c r="F54" s="99" t="inlineStr">
        <is>
          <t>Translation</t>
        </is>
      </c>
      <c r="G54" s="99" t="inlineStr">
        <is>
          <t>Nov-2025</t>
        </is>
      </c>
      <c r="H54" s="99" t="inlineStr">
        <is>
          <t>Q4 2025</t>
        </is>
      </c>
      <c r="I54" s="101" t="n">
        <v>7309.22</v>
      </c>
      <c r="J54" s="101" t="n">
        <v>7880.62</v>
      </c>
      <c r="K54" s="101" t="n">
        <v>0</v>
      </c>
      <c r="L54" s="109" t="n">
        <v>-571.4</v>
      </c>
      <c r="M54" s="110" t="n">
        <v>-0.07820000000000001</v>
      </c>
      <c r="N54" s="104" t="n">
        <v>1.078175236208515</v>
      </c>
      <c r="O54" s="111" t="inlineStr">
        <is>
          <t>Over</t>
        </is>
      </c>
      <c r="P54" s="76" t="inlineStr">
        <is>
          <t>Watch</t>
        </is>
      </c>
    </row>
    <row r="55" ht="16" customHeight="1">
      <c r="A55" s="106" t="inlineStr">
        <is>
          <t>CC-00054</t>
        </is>
      </c>
      <c r="B55" s="71" t="inlineStr">
        <is>
          <t>EVT-2025-005</t>
        </is>
      </c>
      <c r="C55" s="70" t="inlineStr">
        <is>
          <t>Hemaflex Launch Event Brussels Nov 2025</t>
        </is>
      </c>
      <c r="D55" s="70" t="inlineStr">
        <is>
          <t>Hematology</t>
        </is>
      </c>
      <c r="E55" s="70" t="inlineStr">
        <is>
          <t>BU Oncology</t>
        </is>
      </c>
      <c r="F55" s="71" t="inlineStr">
        <is>
          <t>Print &amp; Production</t>
        </is>
      </c>
      <c r="G55" s="71" t="inlineStr">
        <is>
          <t>Nov-2025</t>
        </is>
      </c>
      <c r="H55" s="71" t="inlineStr">
        <is>
          <t>Q4 2025</t>
        </is>
      </c>
      <c r="I55" s="73" t="n">
        <v>4872.81</v>
      </c>
      <c r="J55" s="73" t="n">
        <v>3592.36</v>
      </c>
      <c r="K55" s="73" t="n">
        <v>0</v>
      </c>
      <c r="L55" s="80" t="n">
        <v>1280.45</v>
      </c>
      <c r="M55" s="78" t="n">
        <v>0.2628</v>
      </c>
      <c r="N55" s="107" t="n">
        <v>0.7372255433723046</v>
      </c>
      <c r="O55" s="108" t="inlineStr">
        <is>
          <t>Under</t>
        </is>
      </c>
      <c r="P55" s="69" t="inlineStr">
        <is>
          <t>On Track</t>
        </is>
      </c>
    </row>
    <row r="56" ht="16" customHeight="1">
      <c r="A56" s="98" t="inlineStr">
        <is>
          <t>CC-00055</t>
        </is>
      </c>
      <c r="B56" s="99" t="inlineStr">
        <is>
          <t>EVT-2025-005</t>
        </is>
      </c>
      <c r="C56" s="100" t="inlineStr">
        <is>
          <t>Hemaflex Launch Event Brussels Nov 2025</t>
        </is>
      </c>
      <c r="D56" s="100" t="inlineStr">
        <is>
          <t>Hematology</t>
        </is>
      </c>
      <c r="E56" s="100" t="inlineStr">
        <is>
          <t>BU Oncology</t>
        </is>
      </c>
      <c r="F56" s="99" t="inlineStr">
        <is>
          <t>Miscellaneous</t>
        </is>
      </c>
      <c r="G56" s="99" t="inlineStr">
        <is>
          <t>Nov-2025</t>
        </is>
      </c>
      <c r="H56" s="99" t="inlineStr">
        <is>
          <t>Q4 2025</t>
        </is>
      </c>
      <c r="I56" s="101" t="n">
        <v>4872.81</v>
      </c>
      <c r="J56" s="101" t="n">
        <v>4446.49</v>
      </c>
      <c r="K56" s="101" t="n">
        <v>0</v>
      </c>
      <c r="L56" s="102" t="n">
        <v>426.32</v>
      </c>
      <c r="M56" s="103" t="n">
        <v>0.08749999999999999</v>
      </c>
      <c r="N56" s="104" t="n">
        <v>0.9125104405876691</v>
      </c>
      <c r="O56" s="105" t="inlineStr">
        <is>
          <t>Under</t>
        </is>
      </c>
      <c r="P56" s="69" t="inlineStr">
        <is>
          <t>On Track</t>
        </is>
      </c>
    </row>
    <row r="57" ht="16" customHeight="1">
      <c r="A57" s="106" t="inlineStr">
        <is>
          <t>CC-00056</t>
        </is>
      </c>
      <c r="B57" s="71" t="inlineStr">
        <is>
          <t>EVT-2025-006</t>
        </is>
      </c>
      <c r="C57" s="70" t="inlineStr">
        <is>
          <t>Miotrex Advisory Board Istanbul May 2025</t>
        </is>
      </c>
      <c r="D57" s="70" t="inlineStr">
        <is>
          <t>Cardiology</t>
        </is>
      </c>
      <c r="E57" s="70" t="inlineStr">
        <is>
          <t>BU Cardiovascular</t>
        </is>
      </c>
      <c r="F57" s="71" t="inlineStr">
        <is>
          <t>Airfare</t>
        </is>
      </c>
      <c r="G57" s="71" t="inlineStr">
        <is>
          <t>May-2025</t>
        </is>
      </c>
      <c r="H57" s="71" t="inlineStr">
        <is>
          <t>Q2 2025</t>
        </is>
      </c>
      <c r="I57" s="73" t="n">
        <v>4765.74</v>
      </c>
      <c r="J57" s="73" t="n">
        <v>4323.55</v>
      </c>
      <c r="K57" s="73" t="n">
        <v>3147.67</v>
      </c>
      <c r="L57" s="80" t="n">
        <v>442.19</v>
      </c>
      <c r="M57" s="78" t="n">
        <v>0.09279999999999999</v>
      </c>
      <c r="N57" s="107" t="n">
        <v>0.9072148291765813</v>
      </c>
      <c r="O57" s="108" t="inlineStr">
        <is>
          <t>Under</t>
        </is>
      </c>
      <c r="P57" s="69" t="inlineStr">
        <is>
          <t>On Track</t>
        </is>
      </c>
    </row>
    <row r="58" ht="16" customHeight="1">
      <c r="A58" s="98" t="inlineStr">
        <is>
          <t>CC-00057</t>
        </is>
      </c>
      <c r="B58" s="99" t="inlineStr">
        <is>
          <t>EVT-2025-006</t>
        </is>
      </c>
      <c r="C58" s="100" t="inlineStr">
        <is>
          <t>Miotrex Advisory Board Istanbul May 2025</t>
        </is>
      </c>
      <c r="D58" s="100" t="inlineStr">
        <is>
          <t>Cardiology</t>
        </is>
      </c>
      <c r="E58" s="100" t="inlineStr">
        <is>
          <t>BU Cardiovascular</t>
        </is>
      </c>
      <c r="F58" s="99" t="inlineStr">
        <is>
          <t>Hotel</t>
        </is>
      </c>
      <c r="G58" s="99" t="inlineStr">
        <is>
          <t>May-2025</t>
        </is>
      </c>
      <c r="H58" s="99" t="inlineStr">
        <is>
          <t>Q2 2025</t>
        </is>
      </c>
      <c r="I58" s="101" t="n">
        <v>8578.32</v>
      </c>
      <c r="J58" s="101" t="n">
        <v>7896.29</v>
      </c>
      <c r="K58" s="101" t="n">
        <v>6929.33</v>
      </c>
      <c r="L58" s="102" t="n">
        <v>682.03</v>
      </c>
      <c r="M58" s="103" t="n">
        <v>0.0795</v>
      </c>
      <c r="N58" s="104" t="n">
        <v>0.9204937563532254</v>
      </c>
      <c r="O58" s="105" t="inlineStr">
        <is>
          <t>Under</t>
        </is>
      </c>
      <c r="P58" s="69" t="inlineStr">
        <is>
          <t>On Track</t>
        </is>
      </c>
    </row>
    <row r="59" ht="16" customHeight="1">
      <c r="A59" s="106" t="inlineStr">
        <is>
          <t>CC-00058</t>
        </is>
      </c>
      <c r="B59" s="71" t="inlineStr">
        <is>
          <t>EVT-2025-006</t>
        </is>
      </c>
      <c r="C59" s="70" t="inlineStr">
        <is>
          <t>Miotrex Advisory Board Istanbul May 2025</t>
        </is>
      </c>
      <c r="D59" s="70" t="inlineStr">
        <is>
          <t>Cardiology</t>
        </is>
      </c>
      <c r="E59" s="70" t="inlineStr">
        <is>
          <t>BU Cardiovascular</t>
        </is>
      </c>
      <c r="F59" s="71" t="inlineStr">
        <is>
          <t>Venue</t>
        </is>
      </c>
      <c r="G59" s="71" t="inlineStr">
        <is>
          <t>May-2025</t>
        </is>
      </c>
      <c r="H59" s="71" t="inlineStr">
        <is>
          <t>Q2 2025</t>
        </is>
      </c>
      <c r="I59" s="73" t="n">
        <v>7148.6</v>
      </c>
      <c r="J59" s="73" t="n">
        <v>6364.56</v>
      </c>
      <c r="K59" s="73" t="n">
        <v>4782.08</v>
      </c>
      <c r="L59" s="80" t="n">
        <v>784.04</v>
      </c>
      <c r="M59" s="78" t="n">
        <v>0.1097</v>
      </c>
      <c r="N59" s="107" t="n">
        <v>0.8903225806451613</v>
      </c>
      <c r="O59" s="108" t="inlineStr">
        <is>
          <t>Under</t>
        </is>
      </c>
      <c r="P59" s="69" t="inlineStr">
        <is>
          <t>On Track</t>
        </is>
      </c>
    </row>
    <row r="60" ht="16" customHeight="1">
      <c r="A60" s="98" t="inlineStr">
        <is>
          <t>CC-00059</t>
        </is>
      </c>
      <c r="B60" s="99" t="inlineStr">
        <is>
          <t>EVT-2025-006</t>
        </is>
      </c>
      <c r="C60" s="100" t="inlineStr">
        <is>
          <t>Miotrex Advisory Board Istanbul May 2025</t>
        </is>
      </c>
      <c r="D60" s="100" t="inlineStr">
        <is>
          <t>Cardiology</t>
        </is>
      </c>
      <c r="E60" s="100" t="inlineStr">
        <is>
          <t>BU Cardiovascular</t>
        </is>
      </c>
      <c r="F60" s="99" t="inlineStr">
        <is>
          <t>F&amp;B</t>
        </is>
      </c>
      <c r="G60" s="99" t="inlineStr">
        <is>
          <t>May-2025</t>
        </is>
      </c>
      <c r="H60" s="99" t="inlineStr">
        <is>
          <t>Q2 2025</t>
        </is>
      </c>
      <c r="I60" s="101" t="n">
        <v>5718.88</v>
      </c>
      <c r="J60" s="101" t="n">
        <v>5216.99</v>
      </c>
      <c r="K60" s="101" t="n">
        <v>5063.61</v>
      </c>
      <c r="L60" s="102" t="n">
        <v>501.89</v>
      </c>
      <c r="M60" s="103" t="n">
        <v>0.0878</v>
      </c>
      <c r="N60" s="104" t="n">
        <v>0.9122398091934084</v>
      </c>
      <c r="O60" s="105" t="inlineStr">
        <is>
          <t>Under</t>
        </is>
      </c>
      <c r="P60" s="69" t="inlineStr">
        <is>
          <t>On Track</t>
        </is>
      </c>
    </row>
    <row r="61" ht="16" customHeight="1">
      <c r="A61" s="106" t="inlineStr">
        <is>
          <t>CC-00060</t>
        </is>
      </c>
      <c r="B61" s="71" t="inlineStr">
        <is>
          <t>EVT-2025-006</t>
        </is>
      </c>
      <c r="C61" s="70" t="inlineStr">
        <is>
          <t>Miotrex Advisory Board Istanbul May 2025</t>
        </is>
      </c>
      <c r="D61" s="70" t="inlineStr">
        <is>
          <t>Cardiology</t>
        </is>
      </c>
      <c r="E61" s="70" t="inlineStr">
        <is>
          <t>BU Cardiovascular</t>
        </is>
      </c>
      <c r="F61" s="71" t="inlineStr">
        <is>
          <t>Logistics</t>
        </is>
      </c>
      <c r="G61" s="71" t="inlineStr">
        <is>
          <t>May-2025</t>
        </is>
      </c>
      <c r="H61" s="71" t="inlineStr">
        <is>
          <t>Q2 2025</t>
        </is>
      </c>
      <c r="I61" s="73" t="n">
        <v>2859.44</v>
      </c>
      <c r="J61" s="73" t="n">
        <v>2198.37</v>
      </c>
      <c r="K61" s="73" t="n">
        <v>2148.2</v>
      </c>
      <c r="L61" s="80" t="n">
        <v>661.0700000000001</v>
      </c>
      <c r="M61" s="78" t="n">
        <v>0.2312</v>
      </c>
      <c r="N61" s="107" t="n">
        <v>0.7688113756539742</v>
      </c>
      <c r="O61" s="108" t="inlineStr">
        <is>
          <t>Under</t>
        </is>
      </c>
      <c r="P61" s="69" t="inlineStr">
        <is>
          <t>On Track</t>
        </is>
      </c>
    </row>
    <row r="62" ht="16" customHeight="1">
      <c r="A62" s="98" t="inlineStr">
        <is>
          <t>CC-00061</t>
        </is>
      </c>
      <c r="B62" s="99" t="inlineStr">
        <is>
          <t>EVT-2025-006</t>
        </is>
      </c>
      <c r="C62" s="100" t="inlineStr">
        <is>
          <t>Miotrex Advisory Board Istanbul May 2025</t>
        </is>
      </c>
      <c r="D62" s="100" t="inlineStr">
        <is>
          <t>Cardiology</t>
        </is>
      </c>
      <c r="E62" s="100" t="inlineStr">
        <is>
          <t>BU Cardiovascular</t>
        </is>
      </c>
      <c r="F62" s="99" t="inlineStr">
        <is>
          <t>AV &amp; Technology</t>
        </is>
      </c>
      <c r="G62" s="99" t="inlineStr">
        <is>
          <t>May-2025</t>
        </is>
      </c>
      <c r="H62" s="99" t="inlineStr">
        <is>
          <t>Q2 2025</t>
        </is>
      </c>
      <c r="I62" s="101" t="n">
        <v>3812.59</v>
      </c>
      <c r="J62" s="101" t="n">
        <v>2366.08</v>
      </c>
      <c r="K62" s="101" t="n">
        <v>2269.39</v>
      </c>
      <c r="L62" s="102" t="n">
        <v>1446.51</v>
      </c>
      <c r="M62" s="103" t="n">
        <v>0.3794</v>
      </c>
      <c r="N62" s="104" t="n">
        <v>0.6205964973941598</v>
      </c>
      <c r="O62" s="105" t="inlineStr">
        <is>
          <t>Under</t>
        </is>
      </c>
      <c r="P62" s="69" t="inlineStr">
        <is>
          <t>On Track</t>
        </is>
      </c>
    </row>
    <row r="63" ht="16" customHeight="1">
      <c r="A63" s="106" t="inlineStr">
        <is>
          <t>CC-00062</t>
        </is>
      </c>
      <c r="B63" s="71" t="inlineStr">
        <is>
          <t>EVT-2025-006</t>
        </is>
      </c>
      <c r="C63" s="70" t="inlineStr">
        <is>
          <t>Miotrex Advisory Board Istanbul May 2025</t>
        </is>
      </c>
      <c r="D63" s="70" t="inlineStr">
        <is>
          <t>Cardiology</t>
        </is>
      </c>
      <c r="E63" s="70" t="inlineStr">
        <is>
          <t>BU Cardiovascular</t>
        </is>
      </c>
      <c r="F63" s="71" t="inlineStr">
        <is>
          <t>Agency Fees</t>
        </is>
      </c>
      <c r="G63" s="71" t="inlineStr">
        <is>
          <t>May-2025</t>
        </is>
      </c>
      <c r="H63" s="71" t="inlineStr">
        <is>
          <t>Q2 2025</t>
        </is>
      </c>
      <c r="I63" s="73" t="n">
        <v>6672.03</v>
      </c>
      <c r="J63" s="73" t="n">
        <v>4274.18</v>
      </c>
      <c r="K63" s="73" t="n">
        <v>4208.2</v>
      </c>
      <c r="L63" s="80" t="n">
        <v>2397.85</v>
      </c>
      <c r="M63" s="78" t="n">
        <v>0.3594</v>
      </c>
      <c r="N63" s="107" t="n">
        <v>0.640611627945318</v>
      </c>
      <c r="O63" s="108" t="inlineStr">
        <is>
          <t>Under</t>
        </is>
      </c>
      <c r="P63" s="69" t="inlineStr">
        <is>
          <t>On Track</t>
        </is>
      </c>
    </row>
    <row r="64" ht="16" customHeight="1">
      <c r="A64" s="98" t="inlineStr">
        <is>
          <t>CC-00063</t>
        </is>
      </c>
      <c r="B64" s="99" t="inlineStr">
        <is>
          <t>EVT-2025-006</t>
        </is>
      </c>
      <c r="C64" s="100" t="inlineStr">
        <is>
          <t>Miotrex Advisory Board Istanbul May 2025</t>
        </is>
      </c>
      <c r="D64" s="100" t="inlineStr">
        <is>
          <t>Cardiology</t>
        </is>
      </c>
      <c r="E64" s="100" t="inlineStr">
        <is>
          <t>BU Cardiovascular</t>
        </is>
      </c>
      <c r="F64" s="99" t="inlineStr">
        <is>
          <t>Speaker Fees</t>
        </is>
      </c>
      <c r="G64" s="99" t="inlineStr">
        <is>
          <t>May-2025</t>
        </is>
      </c>
      <c r="H64" s="99" t="inlineStr">
        <is>
          <t>Q2 2025</t>
        </is>
      </c>
      <c r="I64" s="101" t="n">
        <v>4765.74</v>
      </c>
      <c r="J64" s="101" t="n">
        <v>4696.69</v>
      </c>
      <c r="K64" s="101" t="n">
        <v>3660.59</v>
      </c>
      <c r="L64" s="102" t="n">
        <v>69.05</v>
      </c>
      <c r="M64" s="103" t="n">
        <v>0.0145</v>
      </c>
      <c r="N64" s="104" t="n">
        <v>0.9855111693042423</v>
      </c>
      <c r="O64" s="105" t="inlineStr">
        <is>
          <t>Under</t>
        </is>
      </c>
      <c r="P64" s="69" t="inlineStr">
        <is>
          <t>On Track</t>
        </is>
      </c>
    </row>
    <row r="65" ht="16" customHeight="1">
      <c r="A65" s="106" t="inlineStr">
        <is>
          <t>CC-00064</t>
        </is>
      </c>
      <c r="B65" s="71" t="inlineStr">
        <is>
          <t>EVT-2025-006</t>
        </is>
      </c>
      <c r="C65" s="70" t="inlineStr">
        <is>
          <t>Miotrex Advisory Board Istanbul May 2025</t>
        </is>
      </c>
      <c r="D65" s="70" t="inlineStr">
        <is>
          <t>Cardiology</t>
        </is>
      </c>
      <c r="E65" s="70" t="inlineStr">
        <is>
          <t>BU Cardiovascular</t>
        </is>
      </c>
      <c r="F65" s="71" t="inlineStr">
        <is>
          <t>Translation</t>
        </is>
      </c>
      <c r="G65" s="71" t="inlineStr">
        <is>
          <t>May-2025</t>
        </is>
      </c>
      <c r="H65" s="71" t="inlineStr">
        <is>
          <t>Q2 2025</t>
        </is>
      </c>
      <c r="I65" s="73" t="n">
        <v>1429.72</v>
      </c>
      <c r="J65" s="73" t="n">
        <v>1008.53</v>
      </c>
      <c r="K65" s="73" t="n">
        <v>879.08</v>
      </c>
      <c r="L65" s="80" t="n">
        <v>421.19</v>
      </c>
      <c r="M65" s="78" t="n">
        <v>0.2946</v>
      </c>
      <c r="N65" s="107" t="n">
        <v>0.7054038553003384</v>
      </c>
      <c r="O65" s="108" t="inlineStr">
        <is>
          <t>Under</t>
        </is>
      </c>
      <c r="P65" s="69" t="inlineStr">
        <is>
          <t>On Track</t>
        </is>
      </c>
    </row>
    <row r="66" ht="16" customHeight="1">
      <c r="A66" s="98" t="inlineStr">
        <is>
          <t>CC-00065</t>
        </is>
      </c>
      <c r="B66" s="99" t="inlineStr">
        <is>
          <t>EVT-2025-006</t>
        </is>
      </c>
      <c r="C66" s="100" t="inlineStr">
        <is>
          <t>Miotrex Advisory Board Istanbul May 2025</t>
        </is>
      </c>
      <c r="D66" s="100" t="inlineStr">
        <is>
          <t>Cardiology</t>
        </is>
      </c>
      <c r="E66" s="100" t="inlineStr">
        <is>
          <t>BU Cardiovascular</t>
        </is>
      </c>
      <c r="F66" s="99" t="inlineStr">
        <is>
          <t>Print &amp; Production</t>
        </is>
      </c>
      <c r="G66" s="99" t="inlineStr">
        <is>
          <t>May-2025</t>
        </is>
      </c>
      <c r="H66" s="99" t="inlineStr">
        <is>
          <t>Q2 2025</t>
        </is>
      </c>
      <c r="I66" s="101" t="n">
        <v>953.15</v>
      </c>
      <c r="J66" s="101" t="n">
        <v>866.47</v>
      </c>
      <c r="K66" s="101" t="n">
        <v>614.4</v>
      </c>
      <c r="L66" s="102" t="n">
        <v>86.68000000000001</v>
      </c>
      <c r="M66" s="103" t="n">
        <v>0.09089999999999999</v>
      </c>
      <c r="N66" s="104" t="n">
        <v>0.909059434506636</v>
      </c>
      <c r="O66" s="105" t="inlineStr">
        <is>
          <t>Under</t>
        </is>
      </c>
      <c r="P66" s="69" t="inlineStr">
        <is>
          <t>On Track</t>
        </is>
      </c>
    </row>
    <row r="67" ht="16" customHeight="1">
      <c r="A67" s="106" t="inlineStr">
        <is>
          <t>CC-00066</t>
        </is>
      </c>
      <c r="B67" s="71" t="inlineStr">
        <is>
          <t>EVT-2025-006</t>
        </is>
      </c>
      <c r="C67" s="70" t="inlineStr">
        <is>
          <t>Miotrex Advisory Board Istanbul May 2025</t>
        </is>
      </c>
      <c r="D67" s="70" t="inlineStr">
        <is>
          <t>Cardiology</t>
        </is>
      </c>
      <c r="E67" s="70" t="inlineStr">
        <is>
          <t>BU Cardiovascular</t>
        </is>
      </c>
      <c r="F67" s="71" t="inlineStr">
        <is>
          <t>Miscellaneous</t>
        </is>
      </c>
      <c r="G67" s="71" t="inlineStr">
        <is>
          <t>May-2025</t>
        </is>
      </c>
      <c r="H67" s="71" t="inlineStr">
        <is>
          <t>Q2 2025</t>
        </is>
      </c>
      <c r="I67" s="73" t="n">
        <v>953.15</v>
      </c>
      <c r="J67" s="73" t="n">
        <v>995.5599999999999</v>
      </c>
      <c r="K67" s="73" t="n">
        <v>859.84</v>
      </c>
      <c r="L67" s="74" t="n">
        <v>-42.41</v>
      </c>
      <c r="M67" s="78" t="n">
        <v>-0.0445</v>
      </c>
      <c r="N67" s="107" t="n">
        <v>1.044494570634213</v>
      </c>
      <c r="O67" s="112" t="inlineStr">
        <is>
          <t>Over</t>
        </is>
      </c>
      <c r="P67" s="69" t="inlineStr">
        <is>
          <t>On Track</t>
        </is>
      </c>
    </row>
    <row r="68" ht="16" customHeight="1">
      <c r="A68" s="98" t="inlineStr">
        <is>
          <t>CC-00067</t>
        </is>
      </c>
      <c r="B68" s="99" t="inlineStr">
        <is>
          <t>EVT-2025-007</t>
        </is>
      </c>
      <c r="C68" s="100" t="inlineStr">
        <is>
          <t>Bioflair Advisory Board Vienna Feb 2025</t>
        </is>
      </c>
      <c r="D68" s="100" t="inlineStr">
        <is>
          <t>Immunology</t>
        </is>
      </c>
      <c r="E68" s="100" t="inlineStr">
        <is>
          <t>BU Immunology</t>
        </is>
      </c>
      <c r="F68" s="99" t="inlineStr">
        <is>
          <t>Airfare</t>
        </is>
      </c>
      <c r="G68" s="99" t="inlineStr">
        <is>
          <t>Feb-2025</t>
        </is>
      </c>
      <c r="H68" s="99" t="inlineStr">
        <is>
          <t>Q1 2025</t>
        </is>
      </c>
      <c r="I68" s="101" t="n">
        <v>41411.81</v>
      </c>
      <c r="J68" s="101" t="n">
        <v>38138.36</v>
      </c>
      <c r="K68" s="101" t="n">
        <v>30153.26</v>
      </c>
      <c r="L68" s="102" t="n">
        <v>3273.45</v>
      </c>
      <c r="M68" s="103" t="n">
        <v>0.079</v>
      </c>
      <c r="N68" s="104" t="n">
        <v>0.9209537086159721</v>
      </c>
      <c r="O68" s="105" t="inlineStr">
        <is>
          <t>Under</t>
        </is>
      </c>
      <c r="P68" s="69" t="inlineStr">
        <is>
          <t>On Track</t>
        </is>
      </c>
    </row>
    <row r="69" ht="16" customHeight="1">
      <c r="A69" s="106" t="inlineStr">
        <is>
          <t>CC-00068</t>
        </is>
      </c>
      <c r="B69" s="71" t="inlineStr">
        <is>
          <t>EVT-2025-007</t>
        </is>
      </c>
      <c r="C69" s="70" t="inlineStr">
        <is>
          <t>Bioflair Advisory Board Vienna Feb 2025</t>
        </is>
      </c>
      <c r="D69" s="70" t="inlineStr">
        <is>
          <t>Immunology</t>
        </is>
      </c>
      <c r="E69" s="70" t="inlineStr">
        <is>
          <t>BU Immunology</t>
        </is>
      </c>
      <c r="F69" s="71" t="inlineStr">
        <is>
          <t>Hotel</t>
        </is>
      </c>
      <c r="G69" s="71" t="inlineStr">
        <is>
          <t>Feb-2025</t>
        </is>
      </c>
      <c r="H69" s="71" t="inlineStr">
        <is>
          <t>Q1 2025</t>
        </is>
      </c>
      <c r="I69" s="73" t="n">
        <v>74541.25</v>
      </c>
      <c r="J69" s="73" t="n">
        <v>53851.5</v>
      </c>
      <c r="K69" s="73" t="n">
        <v>50739.14</v>
      </c>
      <c r="L69" s="80" t="n">
        <v>20689.75</v>
      </c>
      <c r="M69" s="78" t="n">
        <v>0.2776</v>
      </c>
      <c r="N69" s="107" t="n">
        <v>0.7224389180487314</v>
      </c>
      <c r="O69" s="108" t="inlineStr">
        <is>
          <t>Under</t>
        </is>
      </c>
      <c r="P69" s="69" t="inlineStr">
        <is>
          <t>On Track</t>
        </is>
      </c>
    </row>
    <row r="70" ht="16" customHeight="1">
      <c r="A70" s="98" t="inlineStr">
        <is>
          <t>CC-00069</t>
        </is>
      </c>
      <c r="B70" s="99" t="inlineStr">
        <is>
          <t>EVT-2025-007</t>
        </is>
      </c>
      <c r="C70" s="100" t="inlineStr">
        <is>
          <t>Bioflair Advisory Board Vienna Feb 2025</t>
        </is>
      </c>
      <c r="D70" s="100" t="inlineStr">
        <is>
          <t>Immunology</t>
        </is>
      </c>
      <c r="E70" s="100" t="inlineStr">
        <is>
          <t>BU Immunology</t>
        </is>
      </c>
      <c r="F70" s="99" t="inlineStr">
        <is>
          <t>Venue</t>
        </is>
      </c>
      <c r="G70" s="99" t="inlineStr">
        <is>
          <t>Feb-2025</t>
        </is>
      </c>
      <c r="H70" s="99" t="inlineStr">
        <is>
          <t>Q1 2025</t>
        </is>
      </c>
      <c r="I70" s="101" t="n">
        <v>62117.71</v>
      </c>
      <c r="J70" s="101" t="n">
        <v>49883.39</v>
      </c>
      <c r="K70" s="101" t="n">
        <v>41705.67</v>
      </c>
      <c r="L70" s="102" t="n">
        <v>12234.32</v>
      </c>
      <c r="M70" s="103" t="n">
        <v>0.197</v>
      </c>
      <c r="N70" s="104" t="n">
        <v>0.8030461844134306</v>
      </c>
      <c r="O70" s="105" t="inlineStr">
        <is>
          <t>Under</t>
        </is>
      </c>
      <c r="P70" s="69" t="inlineStr">
        <is>
          <t>On Track</t>
        </is>
      </c>
    </row>
    <row r="71" ht="16" customHeight="1">
      <c r="A71" s="106" t="inlineStr">
        <is>
          <t>CC-00070</t>
        </is>
      </c>
      <c r="B71" s="71" t="inlineStr">
        <is>
          <t>EVT-2025-007</t>
        </is>
      </c>
      <c r="C71" s="70" t="inlineStr">
        <is>
          <t>Bioflair Advisory Board Vienna Feb 2025</t>
        </is>
      </c>
      <c r="D71" s="70" t="inlineStr">
        <is>
          <t>Immunology</t>
        </is>
      </c>
      <c r="E71" s="70" t="inlineStr">
        <is>
          <t>BU Immunology</t>
        </is>
      </c>
      <c r="F71" s="71" t="inlineStr">
        <is>
          <t>F&amp;B</t>
        </is>
      </c>
      <c r="G71" s="71" t="inlineStr">
        <is>
          <t>Feb-2025</t>
        </is>
      </c>
      <c r="H71" s="71" t="inlineStr">
        <is>
          <t>Q1 2025</t>
        </is>
      </c>
      <c r="I71" s="73" t="n">
        <v>49694.17</v>
      </c>
      <c r="J71" s="73" t="n">
        <v>46926.54</v>
      </c>
      <c r="K71" s="73" t="n">
        <v>35074.03</v>
      </c>
      <c r="L71" s="80" t="n">
        <v>2767.63</v>
      </c>
      <c r="M71" s="78" t="n">
        <v>0.0557</v>
      </c>
      <c r="N71" s="107" t="n">
        <v>0.9443067466465382</v>
      </c>
      <c r="O71" s="108" t="inlineStr">
        <is>
          <t>Under</t>
        </is>
      </c>
      <c r="P71" s="69" t="inlineStr">
        <is>
          <t>On Track</t>
        </is>
      </c>
    </row>
    <row r="72" ht="16" customHeight="1">
      <c r="A72" s="98" t="inlineStr">
        <is>
          <t>CC-00071</t>
        </is>
      </c>
      <c r="B72" s="99" t="inlineStr">
        <is>
          <t>EVT-2025-007</t>
        </is>
      </c>
      <c r="C72" s="100" t="inlineStr">
        <is>
          <t>Bioflair Advisory Board Vienna Feb 2025</t>
        </is>
      </c>
      <c r="D72" s="100" t="inlineStr">
        <is>
          <t>Immunology</t>
        </is>
      </c>
      <c r="E72" s="100" t="inlineStr">
        <is>
          <t>BU Immunology</t>
        </is>
      </c>
      <c r="F72" s="99" t="inlineStr">
        <is>
          <t>Logistics</t>
        </is>
      </c>
      <c r="G72" s="99" t="inlineStr">
        <is>
          <t>Feb-2025</t>
        </is>
      </c>
      <c r="H72" s="99" t="inlineStr">
        <is>
          <t>Q1 2025</t>
        </is>
      </c>
      <c r="I72" s="101" t="n">
        <v>24847.08</v>
      </c>
      <c r="J72" s="101" t="n">
        <v>20071.74</v>
      </c>
      <c r="K72" s="101" t="n">
        <v>16846.87</v>
      </c>
      <c r="L72" s="102" t="n">
        <v>4775.34</v>
      </c>
      <c r="M72" s="103" t="n">
        <v>0.1922</v>
      </c>
      <c r="N72" s="104" t="n">
        <v>0.8078108172066899</v>
      </c>
      <c r="O72" s="105" t="inlineStr">
        <is>
          <t>Under</t>
        </is>
      </c>
      <c r="P72" s="69" t="inlineStr">
        <is>
          <t>On Track</t>
        </is>
      </c>
    </row>
    <row r="73" ht="16" customHeight="1">
      <c r="A73" s="106" t="inlineStr">
        <is>
          <t>CC-00072</t>
        </is>
      </c>
      <c r="B73" s="71" t="inlineStr">
        <is>
          <t>EVT-2025-007</t>
        </is>
      </c>
      <c r="C73" s="70" t="inlineStr">
        <is>
          <t>Bioflair Advisory Board Vienna Feb 2025</t>
        </is>
      </c>
      <c r="D73" s="70" t="inlineStr">
        <is>
          <t>Immunology</t>
        </is>
      </c>
      <c r="E73" s="70" t="inlineStr">
        <is>
          <t>BU Immunology</t>
        </is>
      </c>
      <c r="F73" s="71" t="inlineStr">
        <is>
          <t>AV &amp; Technology</t>
        </is>
      </c>
      <c r="G73" s="71" t="inlineStr">
        <is>
          <t>Feb-2025</t>
        </is>
      </c>
      <c r="H73" s="71" t="inlineStr">
        <is>
          <t>Q1 2025</t>
        </is>
      </c>
      <c r="I73" s="73" t="n">
        <v>33129.44</v>
      </c>
      <c r="J73" s="73" t="n">
        <v>25512.86</v>
      </c>
      <c r="K73" s="73" t="n">
        <v>18958.62</v>
      </c>
      <c r="L73" s="80" t="n">
        <v>7616.58</v>
      </c>
      <c r="M73" s="78" t="n">
        <v>0.2299</v>
      </c>
      <c r="N73" s="107" t="n">
        <v>0.7700963252019956</v>
      </c>
      <c r="O73" s="108" t="inlineStr">
        <is>
          <t>Under</t>
        </is>
      </c>
      <c r="P73" s="69" t="inlineStr">
        <is>
          <t>On Track</t>
        </is>
      </c>
    </row>
    <row r="74" ht="16" customHeight="1">
      <c r="A74" s="98" t="inlineStr">
        <is>
          <t>CC-00073</t>
        </is>
      </c>
      <c r="B74" s="99" t="inlineStr">
        <is>
          <t>EVT-2025-007</t>
        </is>
      </c>
      <c r="C74" s="100" t="inlineStr">
        <is>
          <t>Bioflair Advisory Board Vienna Feb 2025</t>
        </is>
      </c>
      <c r="D74" s="100" t="inlineStr">
        <is>
          <t>Immunology</t>
        </is>
      </c>
      <c r="E74" s="100" t="inlineStr">
        <is>
          <t>BU Immunology</t>
        </is>
      </c>
      <c r="F74" s="99" t="inlineStr">
        <is>
          <t>Agency Fees</t>
        </is>
      </c>
      <c r="G74" s="99" t="inlineStr">
        <is>
          <t>Feb-2025</t>
        </is>
      </c>
      <c r="H74" s="99" t="inlineStr">
        <is>
          <t>Q1 2025</t>
        </is>
      </c>
      <c r="I74" s="101" t="n">
        <v>57976.53</v>
      </c>
      <c r="J74" s="101" t="n">
        <v>59758.88</v>
      </c>
      <c r="K74" s="101" t="n">
        <v>47555.81</v>
      </c>
      <c r="L74" s="109" t="n">
        <v>-1782.35</v>
      </c>
      <c r="M74" s="103" t="n">
        <v>-0.0307</v>
      </c>
      <c r="N74" s="104" t="n">
        <v>1.030742612570984</v>
      </c>
      <c r="O74" s="111" t="inlineStr">
        <is>
          <t>Over</t>
        </is>
      </c>
      <c r="P74" s="69" t="inlineStr">
        <is>
          <t>On Track</t>
        </is>
      </c>
    </row>
    <row r="75" ht="16" customHeight="1">
      <c r="A75" s="106" t="inlineStr">
        <is>
          <t>CC-00074</t>
        </is>
      </c>
      <c r="B75" s="71" t="inlineStr">
        <is>
          <t>EVT-2025-007</t>
        </is>
      </c>
      <c r="C75" s="70" t="inlineStr">
        <is>
          <t>Bioflair Advisory Board Vienna Feb 2025</t>
        </is>
      </c>
      <c r="D75" s="70" t="inlineStr">
        <is>
          <t>Immunology</t>
        </is>
      </c>
      <c r="E75" s="70" t="inlineStr">
        <is>
          <t>BU Immunology</t>
        </is>
      </c>
      <c r="F75" s="71" t="inlineStr">
        <is>
          <t>Speaker Fees</t>
        </is>
      </c>
      <c r="G75" s="71" t="inlineStr">
        <is>
          <t>Feb-2025</t>
        </is>
      </c>
      <c r="H75" s="71" t="inlineStr">
        <is>
          <t>Q1 2025</t>
        </is>
      </c>
      <c r="I75" s="73" t="n">
        <v>41411.81</v>
      </c>
      <c r="J75" s="73" t="n">
        <v>45305</v>
      </c>
      <c r="K75" s="73" t="n">
        <v>36407.6</v>
      </c>
      <c r="L75" s="74" t="n">
        <v>-3893.19</v>
      </c>
      <c r="M75" s="75" t="n">
        <v>-0.094</v>
      </c>
      <c r="N75" s="107" t="n">
        <v>1.094011587515735</v>
      </c>
      <c r="O75" s="112" t="inlineStr">
        <is>
          <t>Over</t>
        </is>
      </c>
      <c r="P75" s="76" t="inlineStr">
        <is>
          <t>Watch</t>
        </is>
      </c>
    </row>
    <row r="76" ht="16" customHeight="1">
      <c r="A76" s="98" t="inlineStr">
        <is>
          <t>CC-00075</t>
        </is>
      </c>
      <c r="B76" s="99" t="inlineStr">
        <is>
          <t>EVT-2025-007</t>
        </is>
      </c>
      <c r="C76" s="100" t="inlineStr">
        <is>
          <t>Bioflair Advisory Board Vienna Feb 2025</t>
        </is>
      </c>
      <c r="D76" s="100" t="inlineStr">
        <is>
          <t>Immunology</t>
        </is>
      </c>
      <c r="E76" s="100" t="inlineStr">
        <is>
          <t>BU Immunology</t>
        </is>
      </c>
      <c r="F76" s="99" t="inlineStr">
        <is>
          <t>Translation</t>
        </is>
      </c>
      <c r="G76" s="99" t="inlineStr">
        <is>
          <t>Feb-2025</t>
        </is>
      </c>
      <c r="H76" s="99" t="inlineStr">
        <is>
          <t>Q1 2025</t>
        </is>
      </c>
      <c r="I76" s="101" t="n">
        <v>12423.54</v>
      </c>
      <c r="J76" s="101" t="n">
        <v>9930.860000000001</v>
      </c>
      <c r="K76" s="101" t="n">
        <v>9217.82</v>
      </c>
      <c r="L76" s="102" t="n">
        <v>2492.68</v>
      </c>
      <c r="M76" s="103" t="n">
        <v>0.2006</v>
      </c>
      <c r="N76" s="104" t="n">
        <v>0.7993583149408301</v>
      </c>
      <c r="O76" s="105" t="inlineStr">
        <is>
          <t>Under</t>
        </is>
      </c>
      <c r="P76" s="69" t="inlineStr">
        <is>
          <t>On Track</t>
        </is>
      </c>
    </row>
    <row r="77" ht="16" customHeight="1">
      <c r="A77" s="106" t="inlineStr">
        <is>
          <t>CC-00076</t>
        </is>
      </c>
      <c r="B77" s="71" t="inlineStr">
        <is>
          <t>EVT-2025-007</t>
        </is>
      </c>
      <c r="C77" s="70" t="inlineStr">
        <is>
          <t>Bioflair Advisory Board Vienna Feb 2025</t>
        </is>
      </c>
      <c r="D77" s="70" t="inlineStr">
        <is>
          <t>Immunology</t>
        </is>
      </c>
      <c r="E77" s="70" t="inlineStr">
        <is>
          <t>BU Immunology</t>
        </is>
      </c>
      <c r="F77" s="71" t="inlineStr">
        <is>
          <t>Print &amp; Production</t>
        </is>
      </c>
      <c r="G77" s="71" t="inlineStr">
        <is>
          <t>Feb-2025</t>
        </is>
      </c>
      <c r="H77" s="71" t="inlineStr">
        <is>
          <t>Q1 2025</t>
        </is>
      </c>
      <c r="I77" s="73" t="n">
        <v>8282.360000000001</v>
      </c>
      <c r="J77" s="73" t="n">
        <v>7102.04</v>
      </c>
      <c r="K77" s="73" t="n">
        <v>5197.66</v>
      </c>
      <c r="L77" s="80" t="n">
        <v>1180.32</v>
      </c>
      <c r="M77" s="78" t="n">
        <v>0.1425</v>
      </c>
      <c r="N77" s="107" t="n">
        <v>0.8574898941847492</v>
      </c>
      <c r="O77" s="108" t="inlineStr">
        <is>
          <t>Under</t>
        </is>
      </c>
      <c r="P77" s="69" t="inlineStr">
        <is>
          <t>On Track</t>
        </is>
      </c>
    </row>
    <row r="78" ht="16" customHeight="1">
      <c r="A78" s="98" t="inlineStr">
        <is>
          <t>CC-00077</t>
        </is>
      </c>
      <c r="B78" s="99" t="inlineStr">
        <is>
          <t>EVT-2025-007</t>
        </is>
      </c>
      <c r="C78" s="100" t="inlineStr">
        <is>
          <t>Bioflair Advisory Board Vienna Feb 2025</t>
        </is>
      </c>
      <c r="D78" s="100" t="inlineStr">
        <is>
          <t>Immunology</t>
        </is>
      </c>
      <c r="E78" s="100" t="inlineStr">
        <is>
          <t>BU Immunology</t>
        </is>
      </c>
      <c r="F78" s="99" t="inlineStr">
        <is>
          <t>Miscellaneous</t>
        </is>
      </c>
      <c r="G78" s="99" t="inlineStr">
        <is>
          <t>Feb-2025</t>
        </is>
      </c>
      <c r="H78" s="99" t="inlineStr">
        <is>
          <t>Q1 2025</t>
        </is>
      </c>
      <c r="I78" s="101" t="n">
        <v>8282.360000000001</v>
      </c>
      <c r="J78" s="101" t="n">
        <v>5970.5</v>
      </c>
      <c r="K78" s="101" t="n">
        <v>4398.81</v>
      </c>
      <c r="L78" s="102" t="n">
        <v>2311.86</v>
      </c>
      <c r="M78" s="103" t="n">
        <v>0.2791</v>
      </c>
      <c r="N78" s="104" t="n">
        <v>0.7208694140317493</v>
      </c>
      <c r="O78" s="105" t="inlineStr">
        <is>
          <t>Under</t>
        </is>
      </c>
      <c r="P78" s="69" t="inlineStr">
        <is>
          <t>On Track</t>
        </is>
      </c>
    </row>
    <row r="79" ht="16" customHeight="1">
      <c r="A79" s="106" t="inlineStr">
        <is>
          <t>CC-00078</t>
        </is>
      </c>
      <c r="B79" s="71" t="inlineStr">
        <is>
          <t>EVT-2025-008</t>
        </is>
      </c>
      <c r="C79" s="70" t="inlineStr">
        <is>
          <t>Axotrin Launch Event Amsterdam Dec 2025</t>
        </is>
      </c>
      <c r="D79" s="70" t="inlineStr">
        <is>
          <t>Neurology</t>
        </is>
      </c>
      <c r="E79" s="70" t="inlineStr">
        <is>
          <t>BU Neuroscience</t>
        </is>
      </c>
      <c r="F79" s="71" t="inlineStr">
        <is>
          <t>Airfare</t>
        </is>
      </c>
      <c r="G79" s="71" t="inlineStr">
        <is>
          <t>Dec-2025</t>
        </is>
      </c>
      <c r="H79" s="71" t="inlineStr">
        <is>
          <t>Q4 2025</t>
        </is>
      </c>
      <c r="I79" s="73" t="n">
        <v>33976.5</v>
      </c>
      <c r="J79" s="73" t="n">
        <v>28023.75</v>
      </c>
      <c r="K79" s="73" t="n">
        <v>20801</v>
      </c>
      <c r="L79" s="80" t="n">
        <v>5952.75</v>
      </c>
      <c r="M79" s="78" t="n">
        <v>0.1752</v>
      </c>
      <c r="N79" s="107" t="n">
        <v>0.824798022162377</v>
      </c>
      <c r="O79" s="108" t="inlineStr">
        <is>
          <t>Under</t>
        </is>
      </c>
      <c r="P79" s="69" t="inlineStr">
        <is>
          <t>On Track</t>
        </is>
      </c>
    </row>
    <row r="80" ht="16" customHeight="1">
      <c r="A80" s="98" t="inlineStr">
        <is>
          <t>CC-00079</t>
        </is>
      </c>
      <c r="B80" s="99" t="inlineStr">
        <is>
          <t>EVT-2025-008</t>
        </is>
      </c>
      <c r="C80" s="100" t="inlineStr">
        <is>
          <t>Axotrin Launch Event Amsterdam Dec 2025</t>
        </is>
      </c>
      <c r="D80" s="100" t="inlineStr">
        <is>
          <t>Neurology</t>
        </is>
      </c>
      <c r="E80" s="100" t="inlineStr">
        <is>
          <t>BU Neuroscience</t>
        </is>
      </c>
      <c r="F80" s="99" t="inlineStr">
        <is>
          <t>Hotel</t>
        </is>
      </c>
      <c r="G80" s="99" t="inlineStr">
        <is>
          <t>Dec-2025</t>
        </is>
      </c>
      <c r="H80" s="99" t="inlineStr">
        <is>
          <t>Q4 2025</t>
        </is>
      </c>
      <c r="I80" s="101" t="n">
        <v>61157.71</v>
      </c>
      <c r="J80" s="101" t="n">
        <v>38242.08</v>
      </c>
      <c r="K80" s="101" t="n">
        <v>37615.5</v>
      </c>
      <c r="L80" s="102" t="n">
        <v>22915.63</v>
      </c>
      <c r="M80" s="103" t="n">
        <v>0.3747</v>
      </c>
      <c r="N80" s="104" t="n">
        <v>0.6253026805614533</v>
      </c>
      <c r="O80" s="105" t="inlineStr">
        <is>
          <t>Under</t>
        </is>
      </c>
      <c r="P80" s="69" t="inlineStr">
        <is>
          <t>On Track</t>
        </is>
      </c>
    </row>
    <row r="81" ht="16" customHeight="1">
      <c r="A81" s="106" t="inlineStr">
        <is>
          <t>CC-00080</t>
        </is>
      </c>
      <c r="B81" s="71" t="inlineStr">
        <is>
          <t>EVT-2025-008</t>
        </is>
      </c>
      <c r="C81" s="70" t="inlineStr">
        <is>
          <t>Axotrin Launch Event Amsterdam Dec 2025</t>
        </is>
      </c>
      <c r="D81" s="70" t="inlineStr">
        <is>
          <t>Neurology</t>
        </is>
      </c>
      <c r="E81" s="70" t="inlineStr">
        <is>
          <t>BU Neuroscience</t>
        </is>
      </c>
      <c r="F81" s="71" t="inlineStr">
        <is>
          <t>Venue</t>
        </is>
      </c>
      <c r="G81" s="71" t="inlineStr">
        <is>
          <t>Dec-2025</t>
        </is>
      </c>
      <c r="H81" s="71" t="inlineStr">
        <is>
          <t>Q4 2025</t>
        </is>
      </c>
      <c r="I81" s="73" t="n">
        <v>50964.75</v>
      </c>
      <c r="J81" s="73" t="n">
        <v>52599.8</v>
      </c>
      <c r="K81" s="73" t="n">
        <v>43418</v>
      </c>
      <c r="L81" s="74" t="n">
        <v>-1635.05</v>
      </c>
      <c r="M81" s="78" t="n">
        <v>-0.0321</v>
      </c>
      <c r="N81" s="107" t="n">
        <v>1.032081978230051</v>
      </c>
      <c r="O81" s="112" t="inlineStr">
        <is>
          <t>Over</t>
        </is>
      </c>
      <c r="P81" s="69" t="inlineStr">
        <is>
          <t>On Track</t>
        </is>
      </c>
    </row>
    <row r="82" ht="16" customHeight="1">
      <c r="A82" s="98" t="inlineStr">
        <is>
          <t>CC-00081</t>
        </is>
      </c>
      <c r="B82" s="99" t="inlineStr">
        <is>
          <t>EVT-2025-008</t>
        </is>
      </c>
      <c r="C82" s="100" t="inlineStr">
        <is>
          <t>Axotrin Launch Event Amsterdam Dec 2025</t>
        </is>
      </c>
      <c r="D82" s="100" t="inlineStr">
        <is>
          <t>Neurology</t>
        </is>
      </c>
      <c r="E82" s="100" t="inlineStr">
        <is>
          <t>BU Neuroscience</t>
        </is>
      </c>
      <c r="F82" s="99" t="inlineStr">
        <is>
          <t>F&amp;B</t>
        </is>
      </c>
      <c r="G82" s="99" t="inlineStr">
        <is>
          <t>Dec-2025</t>
        </is>
      </c>
      <c r="H82" s="99" t="inlineStr">
        <is>
          <t>Q4 2025</t>
        </is>
      </c>
      <c r="I82" s="101" t="n">
        <v>40771.8</v>
      </c>
      <c r="J82" s="101" t="n">
        <v>44088.3</v>
      </c>
      <c r="K82" s="101" t="n">
        <v>42796.22</v>
      </c>
      <c r="L82" s="109" t="n">
        <v>-3316.5</v>
      </c>
      <c r="M82" s="110" t="n">
        <v>-0.0813</v>
      </c>
      <c r="N82" s="104" t="n">
        <v>1.081342987064589</v>
      </c>
      <c r="O82" s="111" t="inlineStr">
        <is>
          <t>Over</t>
        </is>
      </c>
      <c r="P82" s="76" t="inlineStr">
        <is>
          <t>Watch</t>
        </is>
      </c>
    </row>
    <row r="83" ht="16" customHeight="1">
      <c r="A83" s="106" t="inlineStr">
        <is>
          <t>CC-00082</t>
        </is>
      </c>
      <c r="B83" s="71" t="inlineStr">
        <is>
          <t>EVT-2025-008</t>
        </is>
      </c>
      <c r="C83" s="70" t="inlineStr">
        <is>
          <t>Axotrin Launch Event Amsterdam Dec 2025</t>
        </is>
      </c>
      <c r="D83" s="70" t="inlineStr">
        <is>
          <t>Neurology</t>
        </is>
      </c>
      <c r="E83" s="70" t="inlineStr">
        <is>
          <t>BU Neuroscience</t>
        </is>
      </c>
      <c r="F83" s="71" t="inlineStr">
        <is>
          <t>Logistics</t>
        </is>
      </c>
      <c r="G83" s="71" t="inlineStr">
        <is>
          <t>Dec-2025</t>
        </is>
      </c>
      <c r="H83" s="71" t="inlineStr">
        <is>
          <t>Q4 2025</t>
        </is>
      </c>
      <c r="I83" s="73" t="n">
        <v>20385.9</v>
      </c>
      <c r="J83" s="73" t="n">
        <v>20523.28</v>
      </c>
      <c r="K83" s="73" t="n">
        <v>20115.39</v>
      </c>
      <c r="L83" s="74" t="n">
        <v>-137.38</v>
      </c>
      <c r="M83" s="78" t="n">
        <v>-0.0067</v>
      </c>
      <c r="N83" s="107" t="n">
        <v>1.006738971544057</v>
      </c>
      <c r="O83" s="112" t="inlineStr">
        <is>
          <t>Over</t>
        </is>
      </c>
      <c r="P83" s="69" t="inlineStr">
        <is>
          <t>On Track</t>
        </is>
      </c>
    </row>
    <row r="84" ht="16" customHeight="1">
      <c r="A84" s="98" t="inlineStr">
        <is>
          <t>CC-00083</t>
        </is>
      </c>
      <c r="B84" s="99" t="inlineStr">
        <is>
          <t>EVT-2025-008</t>
        </is>
      </c>
      <c r="C84" s="100" t="inlineStr">
        <is>
          <t>Axotrin Launch Event Amsterdam Dec 2025</t>
        </is>
      </c>
      <c r="D84" s="100" t="inlineStr">
        <is>
          <t>Neurology</t>
        </is>
      </c>
      <c r="E84" s="100" t="inlineStr">
        <is>
          <t>BU Neuroscience</t>
        </is>
      </c>
      <c r="F84" s="99" t="inlineStr">
        <is>
          <t>AV &amp; Technology</t>
        </is>
      </c>
      <c r="G84" s="99" t="inlineStr">
        <is>
          <t>Dec-2025</t>
        </is>
      </c>
      <c r="H84" s="99" t="inlineStr">
        <is>
          <t>Q4 2025</t>
        </is>
      </c>
      <c r="I84" s="101" t="n">
        <v>27181.2</v>
      </c>
      <c r="J84" s="101" t="n">
        <v>26109.29</v>
      </c>
      <c r="K84" s="101" t="n">
        <v>19763.43</v>
      </c>
      <c r="L84" s="102" t="n">
        <v>1071.91</v>
      </c>
      <c r="M84" s="103" t="n">
        <v>0.0394</v>
      </c>
      <c r="N84" s="104" t="n">
        <v>0.9605642870807765</v>
      </c>
      <c r="O84" s="105" t="inlineStr">
        <is>
          <t>Under</t>
        </is>
      </c>
      <c r="P84" s="69" t="inlineStr">
        <is>
          <t>On Track</t>
        </is>
      </c>
    </row>
    <row r="85" ht="16" customHeight="1">
      <c r="A85" s="106" t="inlineStr">
        <is>
          <t>CC-00084</t>
        </is>
      </c>
      <c r="B85" s="71" t="inlineStr">
        <is>
          <t>EVT-2025-008</t>
        </is>
      </c>
      <c r="C85" s="70" t="inlineStr">
        <is>
          <t>Axotrin Launch Event Amsterdam Dec 2025</t>
        </is>
      </c>
      <c r="D85" s="70" t="inlineStr">
        <is>
          <t>Neurology</t>
        </is>
      </c>
      <c r="E85" s="70" t="inlineStr">
        <is>
          <t>BU Neuroscience</t>
        </is>
      </c>
      <c r="F85" s="71" t="inlineStr">
        <is>
          <t>Agency Fees</t>
        </is>
      </c>
      <c r="G85" s="71" t="inlineStr">
        <is>
          <t>Dec-2025</t>
        </is>
      </c>
      <c r="H85" s="71" t="inlineStr">
        <is>
          <t>Q4 2025</t>
        </is>
      </c>
      <c r="I85" s="73" t="n">
        <v>47567.1</v>
      </c>
      <c r="J85" s="73" t="n">
        <v>32329.99</v>
      </c>
      <c r="K85" s="73" t="n">
        <v>32290.9</v>
      </c>
      <c r="L85" s="80" t="n">
        <v>15237.11</v>
      </c>
      <c r="M85" s="78" t="n">
        <v>0.3203</v>
      </c>
      <c r="N85" s="107" t="n">
        <v>0.6796712433593808</v>
      </c>
      <c r="O85" s="108" t="inlineStr">
        <is>
          <t>Under</t>
        </is>
      </c>
      <c r="P85" s="69" t="inlineStr">
        <is>
          <t>On Track</t>
        </is>
      </c>
    </row>
    <row r="86" ht="16" customHeight="1">
      <c r="A86" s="98" t="inlineStr">
        <is>
          <t>CC-00085</t>
        </is>
      </c>
      <c r="B86" s="99" t="inlineStr">
        <is>
          <t>EVT-2025-008</t>
        </is>
      </c>
      <c r="C86" s="100" t="inlineStr">
        <is>
          <t>Axotrin Launch Event Amsterdam Dec 2025</t>
        </is>
      </c>
      <c r="D86" s="100" t="inlineStr">
        <is>
          <t>Neurology</t>
        </is>
      </c>
      <c r="E86" s="100" t="inlineStr">
        <is>
          <t>BU Neuroscience</t>
        </is>
      </c>
      <c r="F86" s="99" t="inlineStr">
        <is>
          <t>Speaker Fees</t>
        </is>
      </c>
      <c r="G86" s="99" t="inlineStr">
        <is>
          <t>Dec-2025</t>
        </is>
      </c>
      <c r="H86" s="99" t="inlineStr">
        <is>
          <t>Q4 2025</t>
        </is>
      </c>
      <c r="I86" s="101" t="n">
        <v>33976.5</v>
      </c>
      <c r="J86" s="101" t="n">
        <v>28316.27</v>
      </c>
      <c r="K86" s="101" t="n">
        <v>27289.03</v>
      </c>
      <c r="L86" s="102" t="n">
        <v>5660.23</v>
      </c>
      <c r="M86" s="103" t="n">
        <v>0.1666</v>
      </c>
      <c r="N86" s="104" t="n">
        <v>0.8334075022441982</v>
      </c>
      <c r="O86" s="105" t="inlineStr">
        <is>
          <t>Under</t>
        </is>
      </c>
      <c r="P86" s="69" t="inlineStr">
        <is>
          <t>On Track</t>
        </is>
      </c>
    </row>
    <row r="87" ht="16" customHeight="1">
      <c r="A87" s="106" t="inlineStr">
        <is>
          <t>CC-00086</t>
        </is>
      </c>
      <c r="B87" s="71" t="inlineStr">
        <is>
          <t>EVT-2025-008</t>
        </is>
      </c>
      <c r="C87" s="70" t="inlineStr">
        <is>
          <t>Axotrin Launch Event Amsterdam Dec 2025</t>
        </is>
      </c>
      <c r="D87" s="70" t="inlineStr">
        <is>
          <t>Neurology</t>
        </is>
      </c>
      <c r="E87" s="70" t="inlineStr">
        <is>
          <t>BU Neuroscience</t>
        </is>
      </c>
      <c r="F87" s="71" t="inlineStr">
        <is>
          <t>Translation</t>
        </is>
      </c>
      <c r="G87" s="71" t="inlineStr">
        <is>
          <t>Dec-2025</t>
        </is>
      </c>
      <c r="H87" s="71" t="inlineStr">
        <is>
          <t>Q4 2025</t>
        </is>
      </c>
      <c r="I87" s="73" t="n">
        <v>10192.95</v>
      </c>
      <c r="J87" s="73" t="n">
        <v>8650.610000000001</v>
      </c>
      <c r="K87" s="73" t="n">
        <v>6289.12</v>
      </c>
      <c r="L87" s="80" t="n">
        <v>1542.34</v>
      </c>
      <c r="M87" s="78" t="n">
        <v>0.1513</v>
      </c>
      <c r="N87" s="107" t="n">
        <v>0.8486856111331852</v>
      </c>
      <c r="O87" s="108" t="inlineStr">
        <is>
          <t>Under</t>
        </is>
      </c>
      <c r="P87" s="69" t="inlineStr">
        <is>
          <t>On Track</t>
        </is>
      </c>
    </row>
    <row r="88" ht="16" customHeight="1">
      <c r="A88" s="98" t="inlineStr">
        <is>
          <t>CC-00087</t>
        </is>
      </c>
      <c r="B88" s="99" t="inlineStr">
        <is>
          <t>EVT-2025-008</t>
        </is>
      </c>
      <c r="C88" s="100" t="inlineStr">
        <is>
          <t>Axotrin Launch Event Amsterdam Dec 2025</t>
        </is>
      </c>
      <c r="D88" s="100" t="inlineStr">
        <is>
          <t>Neurology</t>
        </is>
      </c>
      <c r="E88" s="100" t="inlineStr">
        <is>
          <t>BU Neuroscience</t>
        </is>
      </c>
      <c r="F88" s="99" t="inlineStr">
        <is>
          <t>Print &amp; Production</t>
        </is>
      </c>
      <c r="G88" s="99" t="inlineStr">
        <is>
          <t>Dec-2025</t>
        </is>
      </c>
      <c r="H88" s="99" t="inlineStr">
        <is>
          <t>Q4 2025</t>
        </is>
      </c>
      <c r="I88" s="101" t="n">
        <v>6795.3</v>
      </c>
      <c r="J88" s="101" t="n">
        <v>5413.28</v>
      </c>
      <c r="K88" s="101" t="n">
        <v>4531.83</v>
      </c>
      <c r="L88" s="102" t="n">
        <v>1382.02</v>
      </c>
      <c r="M88" s="103" t="n">
        <v>0.2034</v>
      </c>
      <c r="N88" s="104" t="n">
        <v>0.7966211940606006</v>
      </c>
      <c r="O88" s="105" t="inlineStr">
        <is>
          <t>Under</t>
        </is>
      </c>
      <c r="P88" s="69" t="inlineStr">
        <is>
          <t>On Track</t>
        </is>
      </c>
    </row>
    <row r="89" ht="16" customHeight="1">
      <c r="A89" s="106" t="inlineStr">
        <is>
          <t>CC-00088</t>
        </is>
      </c>
      <c r="B89" s="71" t="inlineStr">
        <is>
          <t>EVT-2025-008</t>
        </is>
      </c>
      <c r="C89" s="70" t="inlineStr">
        <is>
          <t>Axotrin Launch Event Amsterdam Dec 2025</t>
        </is>
      </c>
      <c r="D89" s="70" t="inlineStr">
        <is>
          <t>Neurology</t>
        </is>
      </c>
      <c r="E89" s="70" t="inlineStr">
        <is>
          <t>BU Neuroscience</t>
        </is>
      </c>
      <c r="F89" s="71" t="inlineStr">
        <is>
          <t>Miscellaneous</t>
        </is>
      </c>
      <c r="G89" s="71" t="inlineStr">
        <is>
          <t>Dec-2025</t>
        </is>
      </c>
      <c r="H89" s="71" t="inlineStr">
        <is>
          <t>Q4 2025</t>
        </is>
      </c>
      <c r="I89" s="73" t="n">
        <v>6795.3</v>
      </c>
      <c r="J89" s="73" t="n">
        <v>4895.09</v>
      </c>
      <c r="K89" s="73" t="n">
        <v>4283.22</v>
      </c>
      <c r="L89" s="80" t="n">
        <v>1900.21</v>
      </c>
      <c r="M89" s="78" t="n">
        <v>0.2796</v>
      </c>
      <c r="N89" s="107" t="n">
        <v>0.7203640751696025</v>
      </c>
      <c r="O89" s="108" t="inlineStr">
        <is>
          <t>Under</t>
        </is>
      </c>
      <c r="P89" s="69" t="inlineStr">
        <is>
          <t>On Track</t>
        </is>
      </c>
    </row>
    <row r="90" ht="16" customHeight="1">
      <c r="A90" s="98" t="inlineStr">
        <is>
          <t>CC-00089</t>
        </is>
      </c>
      <c r="B90" s="99" t="inlineStr">
        <is>
          <t>EVT-2025-009</t>
        </is>
      </c>
      <c r="C90" s="100" t="inlineStr">
        <is>
          <t>Cognivex KOL Meeting Milan Aug 2025</t>
        </is>
      </c>
      <c r="D90" s="100" t="inlineStr">
        <is>
          <t>Neurology</t>
        </is>
      </c>
      <c r="E90" s="100" t="inlineStr">
        <is>
          <t>BU Neuroscience</t>
        </is>
      </c>
      <c r="F90" s="99" t="inlineStr">
        <is>
          <t>Airfare</t>
        </is>
      </c>
      <c r="G90" s="99" t="inlineStr">
        <is>
          <t>Aug-2025</t>
        </is>
      </c>
      <c r="H90" s="99" t="inlineStr">
        <is>
          <t>Q3 2025</t>
        </is>
      </c>
      <c r="I90" s="101" t="n">
        <v>35028.87</v>
      </c>
      <c r="J90" s="101" t="n">
        <v>21869.54</v>
      </c>
      <c r="K90" s="101" t="n">
        <v>0</v>
      </c>
      <c r="L90" s="102" t="n">
        <v>13159.33</v>
      </c>
      <c r="M90" s="103" t="n">
        <v>0.3757</v>
      </c>
      <c r="N90" s="104" t="n">
        <v>0.6243290177502158</v>
      </c>
      <c r="O90" s="105" t="inlineStr">
        <is>
          <t>Under</t>
        </is>
      </c>
      <c r="P90" s="69" t="inlineStr">
        <is>
          <t>On Track</t>
        </is>
      </c>
    </row>
    <row r="91" ht="16" customHeight="1">
      <c r="A91" s="106" t="inlineStr">
        <is>
          <t>CC-00090</t>
        </is>
      </c>
      <c r="B91" s="71" t="inlineStr">
        <is>
          <t>EVT-2025-009</t>
        </is>
      </c>
      <c r="C91" s="70" t="inlineStr">
        <is>
          <t>Cognivex KOL Meeting Milan Aug 2025</t>
        </is>
      </c>
      <c r="D91" s="70" t="inlineStr">
        <is>
          <t>Neurology</t>
        </is>
      </c>
      <c r="E91" s="70" t="inlineStr">
        <is>
          <t>BU Neuroscience</t>
        </is>
      </c>
      <c r="F91" s="71" t="inlineStr">
        <is>
          <t>Hotel</t>
        </is>
      </c>
      <c r="G91" s="71" t="inlineStr">
        <is>
          <t>Aug-2025</t>
        </is>
      </c>
      <c r="H91" s="71" t="inlineStr">
        <is>
          <t>Q3 2025</t>
        </is>
      </c>
      <c r="I91" s="73" t="n">
        <v>63051.96</v>
      </c>
      <c r="J91" s="73" t="n">
        <v>46701.21</v>
      </c>
      <c r="K91" s="73" t="n">
        <v>0</v>
      </c>
      <c r="L91" s="80" t="n">
        <v>16350.75</v>
      </c>
      <c r="M91" s="78" t="n">
        <v>0.2593</v>
      </c>
      <c r="N91" s="107" t="n">
        <v>0.7406781644852912</v>
      </c>
      <c r="O91" s="108" t="inlineStr">
        <is>
          <t>Under</t>
        </is>
      </c>
      <c r="P91" s="69" t="inlineStr">
        <is>
          <t>On Track</t>
        </is>
      </c>
    </row>
    <row r="92" ht="16" customHeight="1">
      <c r="A92" s="98" t="inlineStr">
        <is>
          <t>CC-00091</t>
        </is>
      </c>
      <c r="B92" s="99" t="inlineStr">
        <is>
          <t>EVT-2025-009</t>
        </is>
      </c>
      <c r="C92" s="100" t="inlineStr">
        <is>
          <t>Cognivex KOL Meeting Milan Aug 2025</t>
        </is>
      </c>
      <c r="D92" s="100" t="inlineStr">
        <is>
          <t>Neurology</t>
        </is>
      </c>
      <c r="E92" s="100" t="inlineStr">
        <is>
          <t>BU Neuroscience</t>
        </is>
      </c>
      <c r="F92" s="99" t="inlineStr">
        <is>
          <t>Venue</t>
        </is>
      </c>
      <c r="G92" s="99" t="inlineStr">
        <is>
          <t>Aug-2025</t>
        </is>
      </c>
      <c r="H92" s="99" t="inlineStr">
        <is>
          <t>Q3 2025</t>
        </is>
      </c>
      <c r="I92" s="101" t="n">
        <v>52543.3</v>
      </c>
      <c r="J92" s="101" t="n">
        <v>47223.78</v>
      </c>
      <c r="K92" s="101" t="n">
        <v>0</v>
      </c>
      <c r="L92" s="102" t="n">
        <v>5319.52</v>
      </c>
      <c r="M92" s="103" t="n">
        <v>0.1012</v>
      </c>
      <c r="N92" s="104" t="n">
        <v>0.8987593089889672</v>
      </c>
      <c r="O92" s="105" t="inlineStr">
        <is>
          <t>Under</t>
        </is>
      </c>
      <c r="P92" s="69" t="inlineStr">
        <is>
          <t>On Track</t>
        </is>
      </c>
    </row>
    <row r="93" ht="16" customHeight="1">
      <c r="A93" s="106" t="inlineStr">
        <is>
          <t>CC-00092</t>
        </is>
      </c>
      <c r="B93" s="71" t="inlineStr">
        <is>
          <t>EVT-2025-009</t>
        </is>
      </c>
      <c r="C93" s="70" t="inlineStr">
        <is>
          <t>Cognivex KOL Meeting Milan Aug 2025</t>
        </is>
      </c>
      <c r="D93" s="70" t="inlineStr">
        <is>
          <t>Neurology</t>
        </is>
      </c>
      <c r="E93" s="70" t="inlineStr">
        <is>
          <t>BU Neuroscience</t>
        </is>
      </c>
      <c r="F93" s="71" t="inlineStr">
        <is>
          <t>F&amp;B</t>
        </is>
      </c>
      <c r="G93" s="71" t="inlineStr">
        <is>
          <t>Aug-2025</t>
        </is>
      </c>
      <c r="H93" s="71" t="inlineStr">
        <is>
          <t>Q3 2025</t>
        </is>
      </c>
      <c r="I93" s="73" t="n">
        <v>42034.64</v>
      </c>
      <c r="J93" s="73" t="n">
        <v>42935.22</v>
      </c>
      <c r="K93" s="73" t="n">
        <v>0</v>
      </c>
      <c r="L93" s="74" t="n">
        <v>-900.58</v>
      </c>
      <c r="M93" s="78" t="n">
        <v>-0.0214</v>
      </c>
      <c r="N93" s="107" t="n">
        <v>1.021424710667202</v>
      </c>
      <c r="O93" s="112" t="inlineStr">
        <is>
          <t>Over</t>
        </is>
      </c>
      <c r="P93" s="69" t="inlineStr">
        <is>
          <t>On Track</t>
        </is>
      </c>
    </row>
    <row r="94" ht="16" customHeight="1">
      <c r="A94" s="98" t="inlineStr">
        <is>
          <t>CC-00093</t>
        </is>
      </c>
      <c r="B94" s="99" t="inlineStr">
        <is>
          <t>EVT-2025-009</t>
        </is>
      </c>
      <c r="C94" s="100" t="inlineStr">
        <is>
          <t>Cognivex KOL Meeting Milan Aug 2025</t>
        </is>
      </c>
      <c r="D94" s="100" t="inlineStr">
        <is>
          <t>Neurology</t>
        </is>
      </c>
      <c r="E94" s="100" t="inlineStr">
        <is>
          <t>BU Neuroscience</t>
        </is>
      </c>
      <c r="F94" s="99" t="inlineStr">
        <is>
          <t>Logistics</t>
        </is>
      </c>
      <c r="G94" s="99" t="inlineStr">
        <is>
          <t>Aug-2025</t>
        </is>
      </c>
      <c r="H94" s="99" t="inlineStr">
        <is>
          <t>Q3 2025</t>
        </is>
      </c>
      <c r="I94" s="101" t="n">
        <v>21017.32</v>
      </c>
      <c r="J94" s="101" t="n">
        <v>19677.68</v>
      </c>
      <c r="K94" s="101" t="n">
        <v>0</v>
      </c>
      <c r="L94" s="102" t="n">
        <v>1339.64</v>
      </c>
      <c r="M94" s="103" t="n">
        <v>0.06370000000000001</v>
      </c>
      <c r="N94" s="104" t="n">
        <v>0.936260189215371</v>
      </c>
      <c r="O94" s="105" t="inlineStr">
        <is>
          <t>Under</t>
        </is>
      </c>
      <c r="P94" s="69" t="inlineStr">
        <is>
          <t>On Track</t>
        </is>
      </c>
    </row>
    <row r="95" ht="16" customHeight="1">
      <c r="A95" s="106" t="inlineStr">
        <is>
          <t>CC-00094</t>
        </is>
      </c>
      <c r="B95" s="71" t="inlineStr">
        <is>
          <t>EVT-2025-009</t>
        </is>
      </c>
      <c r="C95" s="70" t="inlineStr">
        <is>
          <t>Cognivex KOL Meeting Milan Aug 2025</t>
        </is>
      </c>
      <c r="D95" s="70" t="inlineStr">
        <is>
          <t>Neurology</t>
        </is>
      </c>
      <c r="E95" s="70" t="inlineStr">
        <is>
          <t>BU Neuroscience</t>
        </is>
      </c>
      <c r="F95" s="71" t="inlineStr">
        <is>
          <t>AV &amp; Technology</t>
        </is>
      </c>
      <c r="G95" s="71" t="inlineStr">
        <is>
          <t>Aug-2025</t>
        </is>
      </c>
      <c r="H95" s="71" t="inlineStr">
        <is>
          <t>Q3 2025</t>
        </is>
      </c>
      <c r="I95" s="73" t="n">
        <v>28023.09</v>
      </c>
      <c r="J95" s="73" t="n">
        <v>20817.63</v>
      </c>
      <c r="K95" s="73" t="n">
        <v>0</v>
      </c>
      <c r="L95" s="80" t="n">
        <v>7205.46</v>
      </c>
      <c r="M95" s="78" t="n">
        <v>0.2571</v>
      </c>
      <c r="N95" s="107" t="n">
        <v>0.7428741798281346</v>
      </c>
      <c r="O95" s="108" t="inlineStr">
        <is>
          <t>Under</t>
        </is>
      </c>
      <c r="P95" s="69" t="inlineStr">
        <is>
          <t>On Track</t>
        </is>
      </c>
    </row>
    <row r="96" ht="16" customHeight="1">
      <c r="A96" s="98" t="inlineStr">
        <is>
          <t>CC-00095</t>
        </is>
      </c>
      <c r="B96" s="99" t="inlineStr">
        <is>
          <t>EVT-2025-009</t>
        </is>
      </c>
      <c r="C96" s="100" t="inlineStr">
        <is>
          <t>Cognivex KOL Meeting Milan Aug 2025</t>
        </is>
      </c>
      <c r="D96" s="100" t="inlineStr">
        <is>
          <t>Neurology</t>
        </is>
      </c>
      <c r="E96" s="100" t="inlineStr">
        <is>
          <t>BU Neuroscience</t>
        </is>
      </c>
      <c r="F96" s="99" t="inlineStr">
        <is>
          <t>Agency Fees</t>
        </is>
      </c>
      <c r="G96" s="99" t="inlineStr">
        <is>
          <t>Aug-2025</t>
        </is>
      </c>
      <c r="H96" s="99" t="inlineStr">
        <is>
          <t>Q3 2025</t>
        </is>
      </c>
      <c r="I96" s="101" t="n">
        <v>49040.41</v>
      </c>
      <c r="J96" s="101" t="n">
        <v>29624.76</v>
      </c>
      <c r="K96" s="101" t="n">
        <v>0</v>
      </c>
      <c r="L96" s="102" t="n">
        <v>19415.65</v>
      </c>
      <c r="M96" s="103" t="n">
        <v>0.3959</v>
      </c>
      <c r="N96" s="104" t="n">
        <v>0.6040887504814906</v>
      </c>
      <c r="O96" s="105" t="inlineStr">
        <is>
          <t>Under</t>
        </is>
      </c>
      <c r="P96" s="69" t="inlineStr">
        <is>
          <t>On Track</t>
        </is>
      </c>
    </row>
    <row r="97" ht="16" customHeight="1">
      <c r="A97" s="106" t="inlineStr">
        <is>
          <t>CC-00096</t>
        </is>
      </c>
      <c r="B97" s="71" t="inlineStr">
        <is>
          <t>EVT-2025-009</t>
        </is>
      </c>
      <c r="C97" s="70" t="inlineStr">
        <is>
          <t>Cognivex KOL Meeting Milan Aug 2025</t>
        </is>
      </c>
      <c r="D97" s="70" t="inlineStr">
        <is>
          <t>Neurology</t>
        </is>
      </c>
      <c r="E97" s="70" t="inlineStr">
        <is>
          <t>BU Neuroscience</t>
        </is>
      </c>
      <c r="F97" s="71" t="inlineStr">
        <is>
          <t>Speaker Fees</t>
        </is>
      </c>
      <c r="G97" s="71" t="inlineStr">
        <is>
          <t>Aug-2025</t>
        </is>
      </c>
      <c r="H97" s="71" t="inlineStr">
        <is>
          <t>Q3 2025</t>
        </is>
      </c>
      <c r="I97" s="73" t="n">
        <v>35028.87</v>
      </c>
      <c r="J97" s="73" t="n">
        <v>22900.07</v>
      </c>
      <c r="K97" s="73" t="n">
        <v>0</v>
      </c>
      <c r="L97" s="80" t="n">
        <v>12128.8</v>
      </c>
      <c r="M97" s="78" t="n">
        <v>0.3463</v>
      </c>
      <c r="N97" s="107" t="n">
        <v>0.6537484651945666</v>
      </c>
      <c r="O97" s="108" t="inlineStr">
        <is>
          <t>Under</t>
        </is>
      </c>
      <c r="P97" s="69" t="inlineStr">
        <is>
          <t>On Track</t>
        </is>
      </c>
    </row>
    <row r="98" ht="16" customHeight="1">
      <c r="A98" s="98" t="inlineStr">
        <is>
          <t>CC-00097</t>
        </is>
      </c>
      <c r="B98" s="99" t="inlineStr">
        <is>
          <t>EVT-2025-009</t>
        </is>
      </c>
      <c r="C98" s="100" t="inlineStr">
        <is>
          <t>Cognivex KOL Meeting Milan Aug 2025</t>
        </is>
      </c>
      <c r="D98" s="100" t="inlineStr">
        <is>
          <t>Neurology</t>
        </is>
      </c>
      <c r="E98" s="100" t="inlineStr">
        <is>
          <t>BU Neuroscience</t>
        </is>
      </c>
      <c r="F98" s="99" t="inlineStr">
        <is>
          <t>Translation</t>
        </is>
      </c>
      <c r="G98" s="99" t="inlineStr">
        <is>
          <t>Aug-2025</t>
        </is>
      </c>
      <c r="H98" s="99" t="inlineStr">
        <is>
          <t>Q3 2025</t>
        </is>
      </c>
      <c r="I98" s="101" t="n">
        <v>10508.66</v>
      </c>
      <c r="J98" s="101" t="n">
        <v>7008.93</v>
      </c>
      <c r="K98" s="101" t="n">
        <v>0</v>
      </c>
      <c r="L98" s="102" t="n">
        <v>3499.73</v>
      </c>
      <c r="M98" s="103" t="n">
        <v>0.333</v>
      </c>
      <c r="N98" s="104" t="n">
        <v>0.6669670538394049</v>
      </c>
      <c r="O98" s="105" t="inlineStr">
        <is>
          <t>Under</t>
        </is>
      </c>
      <c r="P98" s="69" t="inlineStr">
        <is>
          <t>On Track</t>
        </is>
      </c>
    </row>
    <row r="99" ht="16" customHeight="1">
      <c r="A99" s="106" t="inlineStr">
        <is>
          <t>CC-00098</t>
        </is>
      </c>
      <c r="B99" s="71" t="inlineStr">
        <is>
          <t>EVT-2025-009</t>
        </is>
      </c>
      <c r="C99" s="70" t="inlineStr">
        <is>
          <t>Cognivex KOL Meeting Milan Aug 2025</t>
        </is>
      </c>
      <c r="D99" s="70" t="inlineStr">
        <is>
          <t>Neurology</t>
        </is>
      </c>
      <c r="E99" s="70" t="inlineStr">
        <is>
          <t>BU Neuroscience</t>
        </is>
      </c>
      <c r="F99" s="71" t="inlineStr">
        <is>
          <t>Print &amp; Production</t>
        </is>
      </c>
      <c r="G99" s="71" t="inlineStr">
        <is>
          <t>Aug-2025</t>
        </is>
      </c>
      <c r="H99" s="71" t="inlineStr">
        <is>
          <t>Q3 2025</t>
        </is>
      </c>
      <c r="I99" s="73" t="n">
        <v>7005.77</v>
      </c>
      <c r="J99" s="73" t="n">
        <v>5129.88</v>
      </c>
      <c r="K99" s="73" t="n">
        <v>0</v>
      </c>
      <c r="L99" s="80" t="n">
        <v>1875.89</v>
      </c>
      <c r="M99" s="78" t="n">
        <v>0.2678</v>
      </c>
      <c r="N99" s="107" t="n">
        <v>0.7322364279729423</v>
      </c>
      <c r="O99" s="108" t="inlineStr">
        <is>
          <t>Under</t>
        </is>
      </c>
      <c r="P99" s="69" t="inlineStr">
        <is>
          <t>On Track</t>
        </is>
      </c>
    </row>
    <row r="100" ht="16" customHeight="1">
      <c r="A100" s="98" t="inlineStr">
        <is>
          <t>CC-00099</t>
        </is>
      </c>
      <c r="B100" s="99" t="inlineStr">
        <is>
          <t>EVT-2025-009</t>
        </is>
      </c>
      <c r="C100" s="100" t="inlineStr">
        <is>
          <t>Cognivex KOL Meeting Milan Aug 2025</t>
        </is>
      </c>
      <c r="D100" s="100" t="inlineStr">
        <is>
          <t>Neurology</t>
        </is>
      </c>
      <c r="E100" s="100" t="inlineStr">
        <is>
          <t>BU Neuroscience</t>
        </is>
      </c>
      <c r="F100" s="99" t="inlineStr">
        <is>
          <t>Miscellaneous</t>
        </is>
      </c>
      <c r="G100" s="99" t="inlineStr">
        <is>
          <t>Aug-2025</t>
        </is>
      </c>
      <c r="H100" s="99" t="inlineStr">
        <is>
          <t>Q3 2025</t>
        </is>
      </c>
      <c r="I100" s="101" t="n">
        <v>7005.77</v>
      </c>
      <c r="J100" s="101" t="n">
        <v>5484.74</v>
      </c>
      <c r="K100" s="101" t="n">
        <v>0</v>
      </c>
      <c r="L100" s="102" t="n">
        <v>1521.03</v>
      </c>
      <c r="M100" s="103" t="n">
        <v>0.2171</v>
      </c>
      <c r="N100" s="104" t="n">
        <v>0.7828889615274266</v>
      </c>
      <c r="O100" s="105" t="inlineStr">
        <is>
          <t>Under</t>
        </is>
      </c>
      <c r="P100" s="69" t="inlineStr">
        <is>
          <t>On Track</t>
        </is>
      </c>
    </row>
    <row r="101" ht="16" customHeight="1">
      <c r="A101" s="106" t="inlineStr">
        <is>
          <t>CC-00100</t>
        </is>
      </c>
      <c r="B101" s="71" t="inlineStr">
        <is>
          <t>EVT-2025-010</t>
        </is>
      </c>
      <c r="C101" s="70" t="inlineStr">
        <is>
          <t>Influximab Launch Event Barcelona Apr 2025</t>
        </is>
      </c>
      <c r="D101" s="70" t="inlineStr">
        <is>
          <t>Immunology</t>
        </is>
      </c>
      <c r="E101" s="70" t="inlineStr">
        <is>
          <t>BU Immunology</t>
        </is>
      </c>
      <c r="F101" s="71" t="inlineStr">
        <is>
          <t>Airfare</t>
        </is>
      </c>
      <c r="G101" s="71" t="inlineStr">
        <is>
          <t>Apr-2025</t>
        </is>
      </c>
      <c r="H101" s="71" t="inlineStr">
        <is>
          <t>Q2 2025</t>
        </is>
      </c>
      <c r="I101" s="73" t="n">
        <v>13169.85</v>
      </c>
      <c r="J101" s="73" t="n">
        <v>10557.31</v>
      </c>
      <c r="K101" s="73" t="n">
        <v>0</v>
      </c>
      <c r="L101" s="80" t="n">
        <v>2612.54</v>
      </c>
      <c r="M101" s="78" t="n">
        <v>0.1984</v>
      </c>
      <c r="N101" s="107" t="n">
        <v>0.8016272015246946</v>
      </c>
      <c r="O101" s="108" t="inlineStr">
        <is>
          <t>Under</t>
        </is>
      </c>
      <c r="P101" s="69" t="inlineStr">
        <is>
          <t>On Track</t>
        </is>
      </c>
    </row>
    <row r="102" ht="16" customHeight="1">
      <c r="A102" s="98" t="inlineStr">
        <is>
          <t>CC-00101</t>
        </is>
      </c>
      <c r="B102" s="99" t="inlineStr">
        <is>
          <t>EVT-2025-010</t>
        </is>
      </c>
      <c r="C102" s="100" t="inlineStr">
        <is>
          <t>Influximab Launch Event Barcelona Apr 2025</t>
        </is>
      </c>
      <c r="D102" s="100" t="inlineStr">
        <is>
          <t>Immunology</t>
        </is>
      </c>
      <c r="E102" s="100" t="inlineStr">
        <is>
          <t>BU Immunology</t>
        </is>
      </c>
      <c r="F102" s="99" t="inlineStr">
        <is>
          <t>Hotel</t>
        </is>
      </c>
      <c r="G102" s="99" t="inlineStr">
        <is>
          <t>Apr-2025</t>
        </is>
      </c>
      <c r="H102" s="99" t="inlineStr">
        <is>
          <t>Q2 2025</t>
        </is>
      </c>
      <c r="I102" s="101" t="n">
        <v>23705.73</v>
      </c>
      <c r="J102" s="101" t="n">
        <v>14759.69</v>
      </c>
      <c r="K102" s="101" t="n">
        <v>0</v>
      </c>
      <c r="L102" s="102" t="n">
        <v>8946.040000000001</v>
      </c>
      <c r="M102" s="103" t="n">
        <v>0.3774</v>
      </c>
      <c r="N102" s="104" t="n">
        <v>0.6226211974910708</v>
      </c>
      <c r="O102" s="105" t="inlineStr">
        <is>
          <t>Under</t>
        </is>
      </c>
      <c r="P102" s="69" t="inlineStr">
        <is>
          <t>On Track</t>
        </is>
      </c>
    </row>
    <row r="103" ht="16" customHeight="1">
      <c r="A103" s="106" t="inlineStr">
        <is>
          <t>CC-00102</t>
        </is>
      </c>
      <c r="B103" s="71" t="inlineStr">
        <is>
          <t>EVT-2025-010</t>
        </is>
      </c>
      <c r="C103" s="70" t="inlineStr">
        <is>
          <t>Influximab Launch Event Barcelona Apr 2025</t>
        </is>
      </c>
      <c r="D103" s="70" t="inlineStr">
        <is>
          <t>Immunology</t>
        </is>
      </c>
      <c r="E103" s="70" t="inlineStr">
        <is>
          <t>BU Immunology</t>
        </is>
      </c>
      <c r="F103" s="71" t="inlineStr">
        <is>
          <t>Venue</t>
        </is>
      </c>
      <c r="G103" s="71" t="inlineStr">
        <is>
          <t>Apr-2025</t>
        </is>
      </c>
      <c r="H103" s="71" t="inlineStr">
        <is>
          <t>Q2 2025</t>
        </is>
      </c>
      <c r="I103" s="73" t="n">
        <v>19754.77</v>
      </c>
      <c r="J103" s="73" t="n">
        <v>12358.17</v>
      </c>
      <c r="K103" s="73" t="n">
        <v>0</v>
      </c>
      <c r="L103" s="80" t="n">
        <v>7396.6</v>
      </c>
      <c r="M103" s="78" t="n">
        <v>0.3744</v>
      </c>
      <c r="N103" s="107" t="n">
        <v>0.6255790373666714</v>
      </c>
      <c r="O103" s="108" t="inlineStr">
        <is>
          <t>Under</t>
        </is>
      </c>
      <c r="P103" s="69" t="inlineStr">
        <is>
          <t>On Track</t>
        </is>
      </c>
    </row>
    <row r="104" ht="16" customHeight="1">
      <c r="A104" s="98" t="inlineStr">
        <is>
          <t>CC-00103</t>
        </is>
      </c>
      <c r="B104" s="99" t="inlineStr">
        <is>
          <t>EVT-2025-010</t>
        </is>
      </c>
      <c r="C104" s="100" t="inlineStr">
        <is>
          <t>Influximab Launch Event Barcelona Apr 2025</t>
        </is>
      </c>
      <c r="D104" s="100" t="inlineStr">
        <is>
          <t>Immunology</t>
        </is>
      </c>
      <c r="E104" s="100" t="inlineStr">
        <is>
          <t>BU Immunology</t>
        </is>
      </c>
      <c r="F104" s="99" t="inlineStr">
        <is>
          <t>F&amp;B</t>
        </is>
      </c>
      <c r="G104" s="99" t="inlineStr">
        <is>
          <t>Apr-2025</t>
        </is>
      </c>
      <c r="H104" s="99" t="inlineStr">
        <is>
          <t>Q2 2025</t>
        </is>
      </c>
      <c r="I104" s="101" t="n">
        <v>15803.82</v>
      </c>
      <c r="J104" s="101" t="n">
        <v>13921.72</v>
      </c>
      <c r="K104" s="101" t="n">
        <v>0</v>
      </c>
      <c r="L104" s="102" t="n">
        <v>1882.1</v>
      </c>
      <c r="M104" s="103" t="n">
        <v>0.1191</v>
      </c>
      <c r="N104" s="104" t="n">
        <v>0.88090853983404</v>
      </c>
      <c r="O104" s="105" t="inlineStr">
        <is>
          <t>Under</t>
        </is>
      </c>
      <c r="P104" s="69" t="inlineStr">
        <is>
          <t>On Track</t>
        </is>
      </c>
    </row>
    <row r="105" ht="16" customHeight="1">
      <c r="A105" s="106" t="inlineStr">
        <is>
          <t>CC-00104</t>
        </is>
      </c>
      <c r="B105" s="71" t="inlineStr">
        <is>
          <t>EVT-2025-010</t>
        </is>
      </c>
      <c r="C105" s="70" t="inlineStr">
        <is>
          <t>Influximab Launch Event Barcelona Apr 2025</t>
        </is>
      </c>
      <c r="D105" s="70" t="inlineStr">
        <is>
          <t>Immunology</t>
        </is>
      </c>
      <c r="E105" s="70" t="inlineStr">
        <is>
          <t>BU Immunology</t>
        </is>
      </c>
      <c r="F105" s="71" t="inlineStr">
        <is>
          <t>Logistics</t>
        </is>
      </c>
      <c r="G105" s="71" t="inlineStr">
        <is>
          <t>Apr-2025</t>
        </is>
      </c>
      <c r="H105" s="71" t="inlineStr">
        <is>
          <t>Q2 2025</t>
        </is>
      </c>
      <c r="I105" s="73" t="n">
        <v>7901.91</v>
      </c>
      <c r="J105" s="73" t="n">
        <v>6173.46</v>
      </c>
      <c r="K105" s="73" t="n">
        <v>0</v>
      </c>
      <c r="L105" s="80" t="n">
        <v>1728.45</v>
      </c>
      <c r="M105" s="78" t="n">
        <v>0.2187</v>
      </c>
      <c r="N105" s="107" t="n">
        <v>0.7812617455779679</v>
      </c>
      <c r="O105" s="108" t="inlineStr">
        <is>
          <t>Under</t>
        </is>
      </c>
      <c r="P105" s="69" t="inlineStr">
        <is>
          <t>On Track</t>
        </is>
      </c>
    </row>
    <row r="106" ht="16" customHeight="1">
      <c r="A106" s="98" t="inlineStr">
        <is>
          <t>CC-00105</t>
        </is>
      </c>
      <c r="B106" s="99" t="inlineStr">
        <is>
          <t>EVT-2025-010</t>
        </is>
      </c>
      <c r="C106" s="100" t="inlineStr">
        <is>
          <t>Influximab Launch Event Barcelona Apr 2025</t>
        </is>
      </c>
      <c r="D106" s="100" t="inlineStr">
        <is>
          <t>Immunology</t>
        </is>
      </c>
      <c r="E106" s="100" t="inlineStr">
        <is>
          <t>BU Immunology</t>
        </is>
      </c>
      <c r="F106" s="99" t="inlineStr">
        <is>
          <t>AV &amp; Technology</t>
        </is>
      </c>
      <c r="G106" s="99" t="inlineStr">
        <is>
          <t>Apr-2025</t>
        </is>
      </c>
      <c r="H106" s="99" t="inlineStr">
        <is>
          <t>Q2 2025</t>
        </is>
      </c>
      <c r="I106" s="101" t="n">
        <v>10535.88</v>
      </c>
      <c r="J106" s="101" t="n">
        <v>7841.86</v>
      </c>
      <c r="K106" s="101" t="n">
        <v>0</v>
      </c>
      <c r="L106" s="102" t="n">
        <v>2694.02</v>
      </c>
      <c r="M106" s="103" t="n">
        <v>0.2557</v>
      </c>
      <c r="N106" s="104" t="n">
        <v>0.7443004286305464</v>
      </c>
      <c r="O106" s="105" t="inlineStr">
        <is>
          <t>Under</t>
        </is>
      </c>
      <c r="P106" s="69" t="inlineStr">
        <is>
          <t>On Track</t>
        </is>
      </c>
    </row>
    <row r="107" ht="16" customHeight="1">
      <c r="A107" s="106" t="inlineStr">
        <is>
          <t>CC-00106</t>
        </is>
      </c>
      <c r="B107" s="71" t="inlineStr">
        <is>
          <t>EVT-2025-010</t>
        </is>
      </c>
      <c r="C107" s="70" t="inlineStr">
        <is>
          <t>Influximab Launch Event Barcelona Apr 2025</t>
        </is>
      </c>
      <c r="D107" s="70" t="inlineStr">
        <is>
          <t>Immunology</t>
        </is>
      </c>
      <c r="E107" s="70" t="inlineStr">
        <is>
          <t>BU Immunology</t>
        </is>
      </c>
      <c r="F107" s="71" t="inlineStr">
        <is>
          <t>Agency Fees</t>
        </is>
      </c>
      <c r="G107" s="71" t="inlineStr">
        <is>
          <t>Apr-2025</t>
        </is>
      </c>
      <c r="H107" s="71" t="inlineStr">
        <is>
          <t>Q2 2025</t>
        </is>
      </c>
      <c r="I107" s="73" t="n">
        <v>18437.79</v>
      </c>
      <c r="J107" s="73" t="n">
        <v>14624.38</v>
      </c>
      <c r="K107" s="73" t="n">
        <v>0</v>
      </c>
      <c r="L107" s="80" t="n">
        <v>3813.41</v>
      </c>
      <c r="M107" s="78" t="n">
        <v>0.2068</v>
      </c>
      <c r="N107" s="107" t="n">
        <v>0.7931742361747258</v>
      </c>
      <c r="O107" s="108" t="inlineStr">
        <is>
          <t>Under</t>
        </is>
      </c>
      <c r="P107" s="69" t="inlineStr">
        <is>
          <t>On Track</t>
        </is>
      </c>
    </row>
    <row r="108" ht="16" customHeight="1">
      <c r="A108" s="98" t="inlineStr">
        <is>
          <t>CC-00107</t>
        </is>
      </c>
      <c r="B108" s="99" t="inlineStr">
        <is>
          <t>EVT-2025-010</t>
        </is>
      </c>
      <c r="C108" s="100" t="inlineStr">
        <is>
          <t>Influximab Launch Event Barcelona Apr 2025</t>
        </is>
      </c>
      <c r="D108" s="100" t="inlineStr">
        <is>
          <t>Immunology</t>
        </is>
      </c>
      <c r="E108" s="100" t="inlineStr">
        <is>
          <t>BU Immunology</t>
        </is>
      </c>
      <c r="F108" s="99" t="inlineStr">
        <is>
          <t>Speaker Fees</t>
        </is>
      </c>
      <c r="G108" s="99" t="inlineStr">
        <is>
          <t>Apr-2025</t>
        </is>
      </c>
      <c r="H108" s="99" t="inlineStr">
        <is>
          <t>Q2 2025</t>
        </is>
      </c>
      <c r="I108" s="101" t="n">
        <v>13169.85</v>
      </c>
      <c r="J108" s="101" t="n">
        <v>10867.46</v>
      </c>
      <c r="K108" s="101" t="n">
        <v>0</v>
      </c>
      <c r="L108" s="102" t="n">
        <v>2302.39</v>
      </c>
      <c r="M108" s="103" t="n">
        <v>0.1748</v>
      </c>
      <c r="N108" s="104" t="n">
        <v>0.8251772039924524</v>
      </c>
      <c r="O108" s="105" t="inlineStr">
        <is>
          <t>Under</t>
        </is>
      </c>
      <c r="P108" s="69" t="inlineStr">
        <is>
          <t>On Track</t>
        </is>
      </c>
    </row>
    <row r="109" ht="16" customHeight="1">
      <c r="A109" s="106" t="inlineStr">
        <is>
          <t>CC-00108</t>
        </is>
      </c>
      <c r="B109" s="71" t="inlineStr">
        <is>
          <t>EVT-2025-010</t>
        </is>
      </c>
      <c r="C109" s="70" t="inlineStr">
        <is>
          <t>Influximab Launch Event Barcelona Apr 2025</t>
        </is>
      </c>
      <c r="D109" s="70" t="inlineStr">
        <is>
          <t>Immunology</t>
        </is>
      </c>
      <c r="E109" s="70" t="inlineStr">
        <is>
          <t>BU Immunology</t>
        </is>
      </c>
      <c r="F109" s="71" t="inlineStr">
        <is>
          <t>Translation</t>
        </is>
      </c>
      <c r="G109" s="71" t="inlineStr">
        <is>
          <t>Apr-2025</t>
        </is>
      </c>
      <c r="H109" s="71" t="inlineStr">
        <is>
          <t>Q2 2025</t>
        </is>
      </c>
      <c r="I109" s="73" t="n">
        <v>3950.95</v>
      </c>
      <c r="J109" s="73" t="n">
        <v>3456.8</v>
      </c>
      <c r="K109" s="73" t="n">
        <v>0</v>
      </c>
      <c r="L109" s="80" t="n">
        <v>494.15</v>
      </c>
      <c r="M109" s="78" t="n">
        <v>0.1251</v>
      </c>
      <c r="N109" s="107" t="n">
        <v>0.8749288145888964</v>
      </c>
      <c r="O109" s="108" t="inlineStr">
        <is>
          <t>Under</t>
        </is>
      </c>
      <c r="P109" s="69" t="inlineStr">
        <is>
          <t>On Track</t>
        </is>
      </c>
    </row>
    <row r="110" ht="16" customHeight="1">
      <c r="A110" s="98" t="inlineStr">
        <is>
          <t>CC-00109</t>
        </is>
      </c>
      <c r="B110" s="99" t="inlineStr">
        <is>
          <t>EVT-2025-010</t>
        </is>
      </c>
      <c r="C110" s="100" t="inlineStr">
        <is>
          <t>Influximab Launch Event Barcelona Apr 2025</t>
        </is>
      </c>
      <c r="D110" s="100" t="inlineStr">
        <is>
          <t>Immunology</t>
        </is>
      </c>
      <c r="E110" s="100" t="inlineStr">
        <is>
          <t>BU Immunology</t>
        </is>
      </c>
      <c r="F110" s="99" t="inlineStr">
        <is>
          <t>Print &amp; Production</t>
        </is>
      </c>
      <c r="G110" s="99" t="inlineStr">
        <is>
          <t>Apr-2025</t>
        </is>
      </c>
      <c r="H110" s="99" t="inlineStr">
        <is>
          <t>Q2 2025</t>
        </is>
      </c>
      <c r="I110" s="101" t="n">
        <v>2633.97</v>
      </c>
      <c r="J110" s="101" t="n">
        <v>2667.3</v>
      </c>
      <c r="K110" s="101" t="n">
        <v>0</v>
      </c>
      <c r="L110" s="109" t="n">
        <v>-33.33</v>
      </c>
      <c r="M110" s="103" t="n">
        <v>-0.0127</v>
      </c>
      <c r="N110" s="104" t="n">
        <v>1.01265390266404</v>
      </c>
      <c r="O110" s="111" t="inlineStr">
        <is>
          <t>Over</t>
        </is>
      </c>
      <c r="P110" s="69" t="inlineStr">
        <is>
          <t>On Track</t>
        </is>
      </c>
    </row>
    <row r="111" ht="16" customHeight="1">
      <c r="A111" s="106" t="inlineStr">
        <is>
          <t>CC-00110</t>
        </is>
      </c>
      <c r="B111" s="71" t="inlineStr">
        <is>
          <t>EVT-2025-010</t>
        </is>
      </c>
      <c r="C111" s="70" t="inlineStr">
        <is>
          <t>Influximab Launch Event Barcelona Apr 2025</t>
        </is>
      </c>
      <c r="D111" s="70" t="inlineStr">
        <is>
          <t>Immunology</t>
        </is>
      </c>
      <c r="E111" s="70" t="inlineStr">
        <is>
          <t>BU Immunology</t>
        </is>
      </c>
      <c r="F111" s="71" t="inlineStr">
        <is>
          <t>Miscellaneous</t>
        </is>
      </c>
      <c r="G111" s="71" t="inlineStr">
        <is>
          <t>Apr-2025</t>
        </is>
      </c>
      <c r="H111" s="71" t="inlineStr">
        <is>
          <t>Q2 2025</t>
        </is>
      </c>
      <c r="I111" s="73" t="n">
        <v>2633.97</v>
      </c>
      <c r="J111" s="73" t="n">
        <v>2401.18</v>
      </c>
      <c r="K111" s="73" t="n">
        <v>0</v>
      </c>
      <c r="L111" s="80" t="n">
        <v>232.79</v>
      </c>
      <c r="M111" s="78" t="n">
        <v>0.08840000000000001</v>
      </c>
      <c r="N111" s="107" t="n">
        <v>0.9116201019753452</v>
      </c>
      <c r="O111" s="108" t="inlineStr">
        <is>
          <t>Under</t>
        </is>
      </c>
      <c r="P111" s="69" t="inlineStr">
        <is>
          <t>On Track</t>
        </is>
      </c>
    </row>
    <row r="112" ht="16" customHeight="1">
      <c r="A112" s="98" t="inlineStr">
        <is>
          <t>CC-00111</t>
        </is>
      </c>
      <c r="B112" s="99" t="inlineStr">
        <is>
          <t>EVT-2025-011</t>
        </is>
      </c>
      <c r="C112" s="100" t="inlineStr">
        <is>
          <t>Influximab Launch Event Amsterdam Dec 2025</t>
        </is>
      </c>
      <c r="D112" s="100" t="inlineStr">
        <is>
          <t>Immunology</t>
        </is>
      </c>
      <c r="E112" s="100" t="inlineStr">
        <is>
          <t>BU Immunology</t>
        </is>
      </c>
      <c r="F112" s="99" t="inlineStr">
        <is>
          <t>Airfare</t>
        </is>
      </c>
      <c r="G112" s="99" t="inlineStr">
        <is>
          <t>Dec-2025</t>
        </is>
      </c>
      <c r="H112" s="99" t="inlineStr">
        <is>
          <t>Q4 2025</t>
        </is>
      </c>
      <c r="I112" s="101" t="n">
        <v>27174.81</v>
      </c>
      <c r="J112" s="101" t="n">
        <v>24607.38</v>
      </c>
      <c r="K112" s="101" t="n">
        <v>18174.99</v>
      </c>
      <c r="L112" s="102" t="n">
        <v>2567.43</v>
      </c>
      <c r="M112" s="103" t="n">
        <v>0.0945</v>
      </c>
      <c r="N112" s="104" t="n">
        <v>0.9055216945399066</v>
      </c>
      <c r="O112" s="105" t="inlineStr">
        <is>
          <t>Under</t>
        </is>
      </c>
      <c r="P112" s="69" t="inlineStr">
        <is>
          <t>On Track</t>
        </is>
      </c>
    </row>
    <row r="113" ht="16" customHeight="1">
      <c r="A113" s="106" t="inlineStr">
        <is>
          <t>CC-00112</t>
        </is>
      </c>
      <c r="B113" s="71" t="inlineStr">
        <is>
          <t>EVT-2025-011</t>
        </is>
      </c>
      <c r="C113" s="70" t="inlineStr">
        <is>
          <t>Influximab Launch Event Amsterdam Dec 2025</t>
        </is>
      </c>
      <c r="D113" s="70" t="inlineStr">
        <is>
          <t>Immunology</t>
        </is>
      </c>
      <c r="E113" s="70" t="inlineStr">
        <is>
          <t>BU Immunology</t>
        </is>
      </c>
      <c r="F113" s="71" t="inlineStr">
        <is>
          <t>Hotel</t>
        </is>
      </c>
      <c r="G113" s="71" t="inlineStr">
        <is>
          <t>Dec-2025</t>
        </is>
      </c>
      <c r="H113" s="71" t="inlineStr">
        <is>
          <t>Q4 2025</t>
        </is>
      </c>
      <c r="I113" s="73" t="n">
        <v>48914.65</v>
      </c>
      <c r="J113" s="73" t="n">
        <v>31713.36</v>
      </c>
      <c r="K113" s="73" t="n">
        <v>25749.96</v>
      </c>
      <c r="L113" s="80" t="n">
        <v>17201.29</v>
      </c>
      <c r="M113" s="78" t="n">
        <v>0.3517</v>
      </c>
      <c r="N113" s="107" t="n">
        <v>0.6483407322755044</v>
      </c>
      <c r="O113" s="108" t="inlineStr">
        <is>
          <t>Under</t>
        </is>
      </c>
      <c r="P113" s="69" t="inlineStr">
        <is>
          <t>On Track</t>
        </is>
      </c>
    </row>
    <row r="114" ht="16" customHeight="1">
      <c r="A114" s="98" t="inlineStr">
        <is>
          <t>CC-00113</t>
        </is>
      </c>
      <c r="B114" s="99" t="inlineStr">
        <is>
          <t>EVT-2025-011</t>
        </is>
      </c>
      <c r="C114" s="100" t="inlineStr">
        <is>
          <t>Influximab Launch Event Amsterdam Dec 2025</t>
        </is>
      </c>
      <c r="D114" s="100" t="inlineStr">
        <is>
          <t>Immunology</t>
        </is>
      </c>
      <c r="E114" s="100" t="inlineStr">
        <is>
          <t>BU Immunology</t>
        </is>
      </c>
      <c r="F114" s="99" t="inlineStr">
        <is>
          <t>Venue</t>
        </is>
      </c>
      <c r="G114" s="99" t="inlineStr">
        <is>
          <t>Dec-2025</t>
        </is>
      </c>
      <c r="H114" s="99" t="inlineStr">
        <is>
          <t>Q4 2025</t>
        </is>
      </c>
      <c r="I114" s="101" t="n">
        <v>40762.21</v>
      </c>
      <c r="J114" s="101" t="n">
        <v>44569.15</v>
      </c>
      <c r="K114" s="101" t="n">
        <v>38657.03</v>
      </c>
      <c r="L114" s="109" t="n">
        <v>-3806.94</v>
      </c>
      <c r="M114" s="110" t="n">
        <v>-0.0934</v>
      </c>
      <c r="N114" s="104" t="n">
        <v>1.093393856711891</v>
      </c>
      <c r="O114" s="111" t="inlineStr">
        <is>
          <t>Over</t>
        </is>
      </c>
      <c r="P114" s="76" t="inlineStr">
        <is>
          <t>Watch</t>
        </is>
      </c>
    </row>
    <row r="115" ht="16" customHeight="1">
      <c r="A115" s="106" t="inlineStr">
        <is>
          <t>CC-00114</t>
        </is>
      </c>
      <c r="B115" s="71" t="inlineStr">
        <is>
          <t>EVT-2025-011</t>
        </is>
      </c>
      <c r="C115" s="70" t="inlineStr">
        <is>
          <t>Influximab Launch Event Amsterdam Dec 2025</t>
        </is>
      </c>
      <c r="D115" s="70" t="inlineStr">
        <is>
          <t>Immunology</t>
        </is>
      </c>
      <c r="E115" s="70" t="inlineStr">
        <is>
          <t>BU Immunology</t>
        </is>
      </c>
      <c r="F115" s="71" t="inlineStr">
        <is>
          <t>F&amp;B</t>
        </is>
      </c>
      <c r="G115" s="71" t="inlineStr">
        <is>
          <t>Dec-2025</t>
        </is>
      </c>
      <c r="H115" s="71" t="inlineStr">
        <is>
          <t>Q4 2025</t>
        </is>
      </c>
      <c r="I115" s="73" t="n">
        <v>32609.77</v>
      </c>
      <c r="J115" s="73" t="n">
        <v>25527.03</v>
      </c>
      <c r="K115" s="73" t="n">
        <v>18973.74</v>
      </c>
      <c r="L115" s="80" t="n">
        <v>7082.74</v>
      </c>
      <c r="M115" s="78" t="n">
        <v>0.2172</v>
      </c>
      <c r="N115" s="107" t="n">
        <v>0.7828031292462351</v>
      </c>
      <c r="O115" s="108" t="inlineStr">
        <is>
          <t>Under</t>
        </is>
      </c>
      <c r="P115" s="69" t="inlineStr">
        <is>
          <t>On Track</t>
        </is>
      </c>
    </row>
    <row r="116" ht="16" customHeight="1">
      <c r="A116" s="98" t="inlineStr">
        <is>
          <t>CC-00115</t>
        </is>
      </c>
      <c r="B116" s="99" t="inlineStr">
        <is>
          <t>EVT-2025-011</t>
        </is>
      </c>
      <c r="C116" s="100" t="inlineStr">
        <is>
          <t>Influximab Launch Event Amsterdam Dec 2025</t>
        </is>
      </c>
      <c r="D116" s="100" t="inlineStr">
        <is>
          <t>Immunology</t>
        </is>
      </c>
      <c r="E116" s="100" t="inlineStr">
        <is>
          <t>BU Immunology</t>
        </is>
      </c>
      <c r="F116" s="99" t="inlineStr">
        <is>
          <t>Logistics</t>
        </is>
      </c>
      <c r="G116" s="99" t="inlineStr">
        <is>
          <t>Dec-2025</t>
        </is>
      </c>
      <c r="H116" s="99" t="inlineStr">
        <is>
          <t>Q4 2025</t>
        </is>
      </c>
      <c r="I116" s="101" t="n">
        <v>16304.88</v>
      </c>
      <c r="J116" s="101" t="n">
        <v>14694.47</v>
      </c>
      <c r="K116" s="101" t="n">
        <v>12055.58</v>
      </c>
      <c r="L116" s="102" t="n">
        <v>1610.41</v>
      </c>
      <c r="M116" s="103" t="n">
        <v>0.0988</v>
      </c>
      <c r="N116" s="104" t="n">
        <v>0.9012314104734288</v>
      </c>
      <c r="O116" s="105" t="inlineStr">
        <is>
          <t>Under</t>
        </is>
      </c>
      <c r="P116" s="69" t="inlineStr">
        <is>
          <t>On Track</t>
        </is>
      </c>
    </row>
    <row r="117" ht="16" customHeight="1">
      <c r="A117" s="106" t="inlineStr">
        <is>
          <t>CC-00116</t>
        </is>
      </c>
      <c r="B117" s="71" t="inlineStr">
        <is>
          <t>EVT-2025-011</t>
        </is>
      </c>
      <c r="C117" s="70" t="inlineStr">
        <is>
          <t>Influximab Launch Event Amsterdam Dec 2025</t>
        </is>
      </c>
      <c r="D117" s="70" t="inlineStr">
        <is>
          <t>Immunology</t>
        </is>
      </c>
      <c r="E117" s="70" t="inlineStr">
        <is>
          <t>BU Immunology</t>
        </is>
      </c>
      <c r="F117" s="71" t="inlineStr">
        <is>
          <t>AV &amp; Technology</t>
        </is>
      </c>
      <c r="G117" s="71" t="inlineStr">
        <is>
          <t>Dec-2025</t>
        </is>
      </c>
      <c r="H117" s="71" t="inlineStr">
        <is>
          <t>Q4 2025</t>
        </is>
      </c>
      <c r="I117" s="73" t="n">
        <v>21739.84</v>
      </c>
      <c r="J117" s="73" t="n">
        <v>13481.47</v>
      </c>
      <c r="K117" s="73" t="n">
        <v>9594.41</v>
      </c>
      <c r="L117" s="80" t="n">
        <v>8258.370000000001</v>
      </c>
      <c r="M117" s="78" t="n">
        <v>0.3799</v>
      </c>
      <c r="N117" s="107" t="n">
        <v>0.620127379042348</v>
      </c>
      <c r="O117" s="108" t="inlineStr">
        <is>
          <t>Under</t>
        </is>
      </c>
      <c r="P117" s="69" t="inlineStr">
        <is>
          <t>On Track</t>
        </is>
      </c>
    </row>
    <row r="118" ht="16" customHeight="1">
      <c r="A118" s="98" t="inlineStr">
        <is>
          <t>CC-00117</t>
        </is>
      </c>
      <c r="B118" s="99" t="inlineStr">
        <is>
          <t>EVT-2025-011</t>
        </is>
      </c>
      <c r="C118" s="100" t="inlineStr">
        <is>
          <t>Influximab Launch Event Amsterdam Dec 2025</t>
        </is>
      </c>
      <c r="D118" s="100" t="inlineStr">
        <is>
          <t>Immunology</t>
        </is>
      </c>
      <c r="E118" s="100" t="inlineStr">
        <is>
          <t>BU Immunology</t>
        </is>
      </c>
      <c r="F118" s="99" t="inlineStr">
        <is>
          <t>Agency Fees</t>
        </is>
      </c>
      <c r="G118" s="99" t="inlineStr">
        <is>
          <t>Dec-2025</t>
        </is>
      </c>
      <c r="H118" s="99" t="inlineStr">
        <is>
          <t>Q4 2025</t>
        </is>
      </c>
      <c r="I118" s="101" t="n">
        <v>38044.73</v>
      </c>
      <c r="J118" s="101" t="n">
        <v>36401.04</v>
      </c>
      <c r="K118" s="101" t="n">
        <v>34260.29</v>
      </c>
      <c r="L118" s="102" t="n">
        <v>1643.69</v>
      </c>
      <c r="M118" s="103" t="n">
        <v>0.0432</v>
      </c>
      <c r="N118" s="104" t="n">
        <v>0.956795855825498</v>
      </c>
      <c r="O118" s="105" t="inlineStr">
        <is>
          <t>Under</t>
        </is>
      </c>
      <c r="P118" s="69" t="inlineStr">
        <is>
          <t>On Track</t>
        </is>
      </c>
    </row>
    <row r="119" ht="16" customHeight="1">
      <c r="A119" s="106" t="inlineStr">
        <is>
          <t>CC-00118</t>
        </is>
      </c>
      <c r="B119" s="71" t="inlineStr">
        <is>
          <t>EVT-2025-011</t>
        </is>
      </c>
      <c r="C119" s="70" t="inlineStr">
        <is>
          <t>Influximab Launch Event Amsterdam Dec 2025</t>
        </is>
      </c>
      <c r="D119" s="70" t="inlineStr">
        <is>
          <t>Immunology</t>
        </is>
      </c>
      <c r="E119" s="70" t="inlineStr">
        <is>
          <t>BU Immunology</t>
        </is>
      </c>
      <c r="F119" s="71" t="inlineStr">
        <is>
          <t>Speaker Fees</t>
        </is>
      </c>
      <c r="G119" s="71" t="inlineStr">
        <is>
          <t>Dec-2025</t>
        </is>
      </c>
      <c r="H119" s="71" t="inlineStr">
        <is>
          <t>Q4 2025</t>
        </is>
      </c>
      <c r="I119" s="73" t="n">
        <v>27174.81</v>
      </c>
      <c r="J119" s="73" t="n">
        <v>23361.27</v>
      </c>
      <c r="K119" s="73" t="n">
        <v>17396.72</v>
      </c>
      <c r="L119" s="80" t="n">
        <v>3813.54</v>
      </c>
      <c r="M119" s="78" t="n">
        <v>0.1403</v>
      </c>
      <c r="N119" s="107" t="n">
        <v>0.8596663601327847</v>
      </c>
      <c r="O119" s="108" t="inlineStr">
        <is>
          <t>Under</t>
        </is>
      </c>
      <c r="P119" s="69" t="inlineStr">
        <is>
          <t>On Track</t>
        </is>
      </c>
    </row>
    <row r="120" ht="16" customHeight="1">
      <c r="A120" s="98" t="inlineStr">
        <is>
          <t>CC-00119</t>
        </is>
      </c>
      <c r="B120" s="99" t="inlineStr">
        <is>
          <t>EVT-2025-011</t>
        </is>
      </c>
      <c r="C120" s="100" t="inlineStr">
        <is>
          <t>Influximab Launch Event Amsterdam Dec 2025</t>
        </is>
      </c>
      <c r="D120" s="100" t="inlineStr">
        <is>
          <t>Immunology</t>
        </is>
      </c>
      <c r="E120" s="100" t="inlineStr">
        <is>
          <t>BU Immunology</t>
        </is>
      </c>
      <c r="F120" s="99" t="inlineStr">
        <is>
          <t>Translation</t>
        </is>
      </c>
      <c r="G120" s="99" t="inlineStr">
        <is>
          <t>Dec-2025</t>
        </is>
      </c>
      <c r="H120" s="99" t="inlineStr">
        <is>
          <t>Q4 2025</t>
        </is>
      </c>
      <c r="I120" s="101" t="n">
        <v>8152.44</v>
      </c>
      <c r="J120" s="101" t="n">
        <v>8532.07</v>
      </c>
      <c r="K120" s="101" t="n">
        <v>6330.24</v>
      </c>
      <c r="L120" s="109" t="n">
        <v>-379.63</v>
      </c>
      <c r="M120" s="103" t="n">
        <v>-0.0466</v>
      </c>
      <c r="N120" s="104" t="n">
        <v>1.046566426738498</v>
      </c>
      <c r="O120" s="111" t="inlineStr">
        <is>
          <t>Over</t>
        </is>
      </c>
      <c r="P120" s="69" t="inlineStr">
        <is>
          <t>On Track</t>
        </is>
      </c>
    </row>
    <row r="121" ht="16" customHeight="1">
      <c r="A121" s="106" t="inlineStr">
        <is>
          <t>CC-00120</t>
        </is>
      </c>
      <c r="B121" s="71" t="inlineStr">
        <is>
          <t>EVT-2025-011</t>
        </is>
      </c>
      <c r="C121" s="70" t="inlineStr">
        <is>
          <t>Influximab Launch Event Amsterdam Dec 2025</t>
        </is>
      </c>
      <c r="D121" s="70" t="inlineStr">
        <is>
          <t>Immunology</t>
        </is>
      </c>
      <c r="E121" s="70" t="inlineStr">
        <is>
          <t>BU Immunology</t>
        </is>
      </c>
      <c r="F121" s="71" t="inlineStr">
        <is>
          <t>Print &amp; Production</t>
        </is>
      </c>
      <c r="G121" s="71" t="inlineStr">
        <is>
          <t>Dec-2025</t>
        </is>
      </c>
      <c r="H121" s="71" t="inlineStr">
        <is>
          <t>Q4 2025</t>
        </is>
      </c>
      <c r="I121" s="73" t="n">
        <v>5434.96</v>
      </c>
      <c r="J121" s="73" t="n">
        <v>5791.95</v>
      </c>
      <c r="K121" s="73" t="n">
        <v>4607.84</v>
      </c>
      <c r="L121" s="74" t="n">
        <v>-356.99</v>
      </c>
      <c r="M121" s="75" t="n">
        <v>-0.06569999999999999</v>
      </c>
      <c r="N121" s="107" t="n">
        <v>1.065684016073715</v>
      </c>
      <c r="O121" s="112" t="inlineStr">
        <is>
          <t>Over</t>
        </is>
      </c>
      <c r="P121" s="76" t="inlineStr">
        <is>
          <t>Watch</t>
        </is>
      </c>
    </row>
    <row r="122" ht="16" customHeight="1">
      <c r="A122" s="98" t="inlineStr">
        <is>
          <t>CC-00121</t>
        </is>
      </c>
      <c r="B122" s="99" t="inlineStr">
        <is>
          <t>EVT-2025-011</t>
        </is>
      </c>
      <c r="C122" s="100" t="inlineStr">
        <is>
          <t>Influximab Launch Event Amsterdam Dec 2025</t>
        </is>
      </c>
      <c r="D122" s="100" t="inlineStr">
        <is>
          <t>Immunology</t>
        </is>
      </c>
      <c r="E122" s="100" t="inlineStr">
        <is>
          <t>BU Immunology</t>
        </is>
      </c>
      <c r="F122" s="99" t="inlineStr">
        <is>
          <t>Miscellaneous</t>
        </is>
      </c>
      <c r="G122" s="99" t="inlineStr">
        <is>
          <t>Dec-2025</t>
        </is>
      </c>
      <c r="H122" s="99" t="inlineStr">
        <is>
          <t>Q4 2025</t>
        </is>
      </c>
      <c r="I122" s="101" t="n">
        <v>5434.96</v>
      </c>
      <c r="J122" s="101" t="n">
        <v>4328.82</v>
      </c>
      <c r="K122" s="101" t="n">
        <v>3830.79</v>
      </c>
      <c r="L122" s="102" t="n">
        <v>1106.14</v>
      </c>
      <c r="M122" s="103" t="n">
        <v>0.2035</v>
      </c>
      <c r="N122" s="104" t="n">
        <v>0.796476882994539</v>
      </c>
      <c r="O122" s="105" t="inlineStr">
        <is>
          <t>Under</t>
        </is>
      </c>
      <c r="P122" s="69" t="inlineStr">
        <is>
          <t>On Track</t>
        </is>
      </c>
    </row>
    <row r="123" ht="16" customHeight="1">
      <c r="A123" s="106" t="inlineStr">
        <is>
          <t>CC-00122</t>
        </is>
      </c>
      <c r="B123" s="71" t="inlineStr">
        <is>
          <t>EVT-2025-012</t>
        </is>
      </c>
      <c r="C123" s="70" t="inlineStr">
        <is>
          <t>Rarzolene KOL Meeting Istanbul Oct 2025</t>
        </is>
      </c>
      <c r="D123" s="70" t="inlineStr">
        <is>
          <t>Rare Diseases</t>
        </is>
      </c>
      <c r="E123" s="70" t="inlineStr">
        <is>
          <t>BU Rare Diseases</t>
        </is>
      </c>
      <c r="F123" s="71" t="inlineStr">
        <is>
          <t>Airfare</t>
        </is>
      </c>
      <c r="G123" s="71" t="inlineStr">
        <is>
          <t>Oct-2025</t>
        </is>
      </c>
      <c r="H123" s="71" t="inlineStr">
        <is>
          <t>Q4 2025</t>
        </is>
      </c>
      <c r="I123" s="73" t="n">
        <v>50913.97</v>
      </c>
      <c r="J123" s="73" t="n">
        <v>51998.49</v>
      </c>
      <c r="K123" s="73" t="n">
        <v>45660.78</v>
      </c>
      <c r="L123" s="74" t="n">
        <v>-1084.52</v>
      </c>
      <c r="M123" s="78" t="n">
        <v>-0.0213</v>
      </c>
      <c r="N123" s="107" t="n">
        <v>1.021301029953076</v>
      </c>
      <c r="O123" s="112" t="inlineStr">
        <is>
          <t>Over</t>
        </is>
      </c>
      <c r="P123" s="69" t="inlineStr">
        <is>
          <t>On Track</t>
        </is>
      </c>
    </row>
    <row r="124" ht="16" customHeight="1">
      <c r="A124" s="98" t="inlineStr">
        <is>
          <t>CC-00123</t>
        </is>
      </c>
      <c r="B124" s="99" t="inlineStr">
        <is>
          <t>EVT-2025-012</t>
        </is>
      </c>
      <c r="C124" s="100" t="inlineStr">
        <is>
          <t>Rarzolene KOL Meeting Istanbul Oct 2025</t>
        </is>
      </c>
      <c r="D124" s="100" t="inlineStr">
        <is>
          <t>Rare Diseases</t>
        </is>
      </c>
      <c r="E124" s="100" t="inlineStr">
        <is>
          <t>BU Rare Diseases</t>
        </is>
      </c>
      <c r="F124" s="99" t="inlineStr">
        <is>
          <t>Hotel</t>
        </is>
      </c>
      <c r="G124" s="99" t="inlineStr">
        <is>
          <t>Oct-2025</t>
        </is>
      </c>
      <c r="H124" s="99" t="inlineStr">
        <is>
          <t>Q4 2025</t>
        </is>
      </c>
      <c r="I124" s="101" t="n">
        <v>91645.14</v>
      </c>
      <c r="J124" s="101" t="n">
        <v>78233.56</v>
      </c>
      <c r="K124" s="101" t="n">
        <v>66726.52</v>
      </c>
      <c r="L124" s="102" t="n">
        <v>13411.58</v>
      </c>
      <c r="M124" s="103" t="n">
        <v>0.1463</v>
      </c>
      <c r="N124" s="104" t="n">
        <v>0.8536574880020915</v>
      </c>
      <c r="O124" s="105" t="inlineStr">
        <is>
          <t>Under</t>
        </is>
      </c>
      <c r="P124" s="69" t="inlineStr">
        <is>
          <t>On Track</t>
        </is>
      </c>
    </row>
    <row r="125" ht="16" customHeight="1">
      <c r="A125" s="106" t="inlineStr">
        <is>
          <t>CC-00124</t>
        </is>
      </c>
      <c r="B125" s="71" t="inlineStr">
        <is>
          <t>EVT-2025-012</t>
        </is>
      </c>
      <c r="C125" s="70" t="inlineStr">
        <is>
          <t>Rarzolene KOL Meeting Istanbul Oct 2025</t>
        </is>
      </c>
      <c r="D125" s="70" t="inlineStr">
        <is>
          <t>Rare Diseases</t>
        </is>
      </c>
      <c r="E125" s="70" t="inlineStr">
        <is>
          <t>BU Rare Diseases</t>
        </is>
      </c>
      <c r="F125" s="71" t="inlineStr">
        <is>
          <t>Venue</t>
        </is>
      </c>
      <c r="G125" s="71" t="inlineStr">
        <is>
          <t>Oct-2025</t>
        </is>
      </c>
      <c r="H125" s="71" t="inlineStr">
        <is>
          <t>Q4 2025</t>
        </is>
      </c>
      <c r="I125" s="73" t="n">
        <v>76370.95</v>
      </c>
      <c r="J125" s="73" t="n">
        <v>64527.6</v>
      </c>
      <c r="K125" s="73" t="n">
        <v>56066.57</v>
      </c>
      <c r="L125" s="80" t="n">
        <v>11843.35</v>
      </c>
      <c r="M125" s="78" t="n">
        <v>0.1551</v>
      </c>
      <c r="N125" s="107" t="n">
        <v>0.8449233641849421</v>
      </c>
      <c r="O125" s="108" t="inlineStr">
        <is>
          <t>Under</t>
        </is>
      </c>
      <c r="P125" s="69" t="inlineStr">
        <is>
          <t>On Track</t>
        </is>
      </c>
    </row>
    <row r="126" ht="16" customHeight="1">
      <c r="A126" s="98" t="inlineStr">
        <is>
          <t>CC-00125</t>
        </is>
      </c>
      <c r="B126" s="99" t="inlineStr">
        <is>
          <t>EVT-2025-012</t>
        </is>
      </c>
      <c r="C126" s="100" t="inlineStr">
        <is>
          <t>Rarzolene KOL Meeting Istanbul Oct 2025</t>
        </is>
      </c>
      <c r="D126" s="100" t="inlineStr">
        <is>
          <t>Rare Diseases</t>
        </is>
      </c>
      <c r="E126" s="100" t="inlineStr">
        <is>
          <t>BU Rare Diseases</t>
        </is>
      </c>
      <c r="F126" s="99" t="inlineStr">
        <is>
          <t>F&amp;B</t>
        </is>
      </c>
      <c r="G126" s="99" t="inlineStr">
        <is>
          <t>Oct-2025</t>
        </is>
      </c>
      <c r="H126" s="99" t="inlineStr">
        <is>
          <t>Q4 2025</t>
        </is>
      </c>
      <c r="I126" s="101" t="n">
        <v>61096.76</v>
      </c>
      <c r="J126" s="101" t="n">
        <v>51165.26</v>
      </c>
      <c r="K126" s="101" t="n">
        <v>36071.05</v>
      </c>
      <c r="L126" s="102" t="n">
        <v>9931.5</v>
      </c>
      <c r="M126" s="103" t="n">
        <v>0.1626</v>
      </c>
      <c r="N126" s="104" t="n">
        <v>0.8374463719516387</v>
      </c>
      <c r="O126" s="105" t="inlineStr">
        <is>
          <t>Under</t>
        </is>
      </c>
      <c r="P126" s="69" t="inlineStr">
        <is>
          <t>On Track</t>
        </is>
      </c>
    </row>
    <row r="127" ht="16" customHeight="1">
      <c r="A127" s="106" t="inlineStr">
        <is>
          <t>CC-00126</t>
        </is>
      </c>
      <c r="B127" s="71" t="inlineStr">
        <is>
          <t>EVT-2025-012</t>
        </is>
      </c>
      <c r="C127" s="70" t="inlineStr">
        <is>
          <t>Rarzolene KOL Meeting Istanbul Oct 2025</t>
        </is>
      </c>
      <c r="D127" s="70" t="inlineStr">
        <is>
          <t>Rare Diseases</t>
        </is>
      </c>
      <c r="E127" s="70" t="inlineStr">
        <is>
          <t>BU Rare Diseases</t>
        </is>
      </c>
      <c r="F127" s="71" t="inlineStr">
        <is>
          <t>Logistics</t>
        </is>
      </c>
      <c r="G127" s="71" t="inlineStr">
        <is>
          <t>Oct-2025</t>
        </is>
      </c>
      <c r="H127" s="71" t="inlineStr">
        <is>
          <t>Q4 2025</t>
        </is>
      </c>
      <c r="I127" s="73" t="n">
        <v>30548.38</v>
      </c>
      <c r="J127" s="73" t="n">
        <v>23388.44</v>
      </c>
      <c r="K127" s="73" t="n">
        <v>17140.95</v>
      </c>
      <c r="L127" s="80" t="n">
        <v>7159.94</v>
      </c>
      <c r="M127" s="78" t="n">
        <v>0.2344</v>
      </c>
      <c r="N127" s="107" t="n">
        <v>0.7656196498799608</v>
      </c>
      <c r="O127" s="108" t="inlineStr">
        <is>
          <t>Under</t>
        </is>
      </c>
      <c r="P127" s="69" t="inlineStr">
        <is>
          <t>On Track</t>
        </is>
      </c>
    </row>
    <row r="128" ht="16" customHeight="1">
      <c r="A128" s="98" t="inlineStr">
        <is>
          <t>CC-00127</t>
        </is>
      </c>
      <c r="B128" s="99" t="inlineStr">
        <is>
          <t>EVT-2025-012</t>
        </is>
      </c>
      <c r="C128" s="100" t="inlineStr">
        <is>
          <t>Rarzolene KOL Meeting Istanbul Oct 2025</t>
        </is>
      </c>
      <c r="D128" s="100" t="inlineStr">
        <is>
          <t>Rare Diseases</t>
        </is>
      </c>
      <c r="E128" s="100" t="inlineStr">
        <is>
          <t>BU Rare Diseases</t>
        </is>
      </c>
      <c r="F128" s="99" t="inlineStr">
        <is>
          <t>AV &amp; Technology</t>
        </is>
      </c>
      <c r="G128" s="99" t="inlineStr">
        <is>
          <t>Oct-2025</t>
        </is>
      </c>
      <c r="H128" s="99" t="inlineStr">
        <is>
          <t>Q4 2025</t>
        </is>
      </c>
      <c r="I128" s="101" t="n">
        <v>40731.17</v>
      </c>
      <c r="J128" s="101" t="n">
        <v>32921.79</v>
      </c>
      <c r="K128" s="101" t="n">
        <v>26084.04</v>
      </c>
      <c r="L128" s="102" t="n">
        <v>7809.38</v>
      </c>
      <c r="M128" s="103" t="n">
        <v>0.1917</v>
      </c>
      <c r="N128" s="104" t="n">
        <v>0.8082701773604835</v>
      </c>
      <c r="O128" s="105" t="inlineStr">
        <is>
          <t>Under</t>
        </is>
      </c>
      <c r="P128" s="69" t="inlineStr">
        <is>
          <t>On Track</t>
        </is>
      </c>
    </row>
    <row r="129" ht="16" customHeight="1">
      <c r="A129" s="106" t="inlineStr">
        <is>
          <t>CC-00128</t>
        </is>
      </c>
      <c r="B129" s="71" t="inlineStr">
        <is>
          <t>EVT-2025-012</t>
        </is>
      </c>
      <c r="C129" s="70" t="inlineStr">
        <is>
          <t>Rarzolene KOL Meeting Istanbul Oct 2025</t>
        </is>
      </c>
      <c r="D129" s="70" t="inlineStr">
        <is>
          <t>Rare Diseases</t>
        </is>
      </c>
      <c r="E129" s="70" t="inlineStr">
        <is>
          <t>BU Rare Diseases</t>
        </is>
      </c>
      <c r="F129" s="71" t="inlineStr">
        <is>
          <t>Agency Fees</t>
        </is>
      </c>
      <c r="G129" s="71" t="inlineStr">
        <is>
          <t>Oct-2025</t>
        </is>
      </c>
      <c r="H129" s="71" t="inlineStr">
        <is>
          <t>Q4 2025</t>
        </is>
      </c>
      <c r="I129" s="73" t="n">
        <v>71279.55</v>
      </c>
      <c r="J129" s="73" t="n">
        <v>74799.59</v>
      </c>
      <c r="K129" s="73" t="n">
        <v>71929.50999999999</v>
      </c>
      <c r="L129" s="74" t="n">
        <v>-3520.04</v>
      </c>
      <c r="M129" s="78" t="n">
        <v>-0.0494</v>
      </c>
      <c r="N129" s="107" t="n">
        <v>1.049383588981692</v>
      </c>
      <c r="O129" s="112" t="inlineStr">
        <is>
          <t>Over</t>
        </is>
      </c>
      <c r="P129" s="69" t="inlineStr">
        <is>
          <t>On Track</t>
        </is>
      </c>
    </row>
    <row r="130" ht="16" customHeight="1">
      <c r="A130" s="98" t="inlineStr">
        <is>
          <t>CC-00129</t>
        </is>
      </c>
      <c r="B130" s="99" t="inlineStr">
        <is>
          <t>EVT-2025-012</t>
        </is>
      </c>
      <c r="C130" s="100" t="inlineStr">
        <is>
          <t>Rarzolene KOL Meeting Istanbul Oct 2025</t>
        </is>
      </c>
      <c r="D130" s="100" t="inlineStr">
        <is>
          <t>Rare Diseases</t>
        </is>
      </c>
      <c r="E130" s="100" t="inlineStr">
        <is>
          <t>BU Rare Diseases</t>
        </is>
      </c>
      <c r="F130" s="99" t="inlineStr">
        <is>
          <t>Speaker Fees</t>
        </is>
      </c>
      <c r="G130" s="99" t="inlineStr">
        <is>
          <t>Oct-2025</t>
        </is>
      </c>
      <c r="H130" s="99" t="inlineStr">
        <is>
          <t>Q4 2025</t>
        </is>
      </c>
      <c r="I130" s="101" t="n">
        <v>50913.97</v>
      </c>
      <c r="J130" s="101" t="n">
        <v>46567.46</v>
      </c>
      <c r="K130" s="101" t="n">
        <v>40936.19</v>
      </c>
      <c r="L130" s="102" t="n">
        <v>4346.51</v>
      </c>
      <c r="M130" s="103" t="n">
        <v>0.0854</v>
      </c>
      <c r="N130" s="104" t="n">
        <v>0.9146303067704208</v>
      </c>
      <c r="O130" s="105" t="inlineStr">
        <is>
          <t>Under</t>
        </is>
      </c>
      <c r="P130" s="69" t="inlineStr">
        <is>
          <t>On Track</t>
        </is>
      </c>
    </row>
    <row r="131" ht="16" customHeight="1">
      <c r="A131" s="106" t="inlineStr">
        <is>
          <t>CC-00130</t>
        </is>
      </c>
      <c r="B131" s="71" t="inlineStr">
        <is>
          <t>EVT-2025-012</t>
        </is>
      </c>
      <c r="C131" s="70" t="inlineStr">
        <is>
          <t>Rarzolene KOL Meeting Istanbul Oct 2025</t>
        </is>
      </c>
      <c r="D131" s="70" t="inlineStr">
        <is>
          <t>Rare Diseases</t>
        </is>
      </c>
      <c r="E131" s="70" t="inlineStr">
        <is>
          <t>BU Rare Diseases</t>
        </is>
      </c>
      <c r="F131" s="71" t="inlineStr">
        <is>
          <t>Translation</t>
        </is>
      </c>
      <c r="G131" s="71" t="inlineStr">
        <is>
          <t>Oct-2025</t>
        </is>
      </c>
      <c r="H131" s="71" t="inlineStr">
        <is>
          <t>Q4 2025</t>
        </is>
      </c>
      <c r="I131" s="73" t="n">
        <v>15274.19</v>
      </c>
      <c r="J131" s="73" t="n">
        <v>11192.4</v>
      </c>
      <c r="K131" s="73" t="n">
        <v>10035.97</v>
      </c>
      <c r="L131" s="80" t="n">
        <v>4081.79</v>
      </c>
      <c r="M131" s="78" t="n">
        <v>0.2672</v>
      </c>
      <c r="N131" s="107" t="n">
        <v>0.7327655345389837</v>
      </c>
      <c r="O131" s="108" t="inlineStr">
        <is>
          <t>Under</t>
        </is>
      </c>
      <c r="P131" s="69" t="inlineStr">
        <is>
          <t>On Track</t>
        </is>
      </c>
    </row>
    <row r="132" ht="16" customHeight="1">
      <c r="A132" s="98" t="inlineStr">
        <is>
          <t>CC-00131</t>
        </is>
      </c>
      <c r="B132" s="99" t="inlineStr">
        <is>
          <t>EVT-2025-012</t>
        </is>
      </c>
      <c r="C132" s="100" t="inlineStr">
        <is>
          <t>Rarzolene KOL Meeting Istanbul Oct 2025</t>
        </is>
      </c>
      <c r="D132" s="100" t="inlineStr">
        <is>
          <t>Rare Diseases</t>
        </is>
      </c>
      <c r="E132" s="100" t="inlineStr">
        <is>
          <t>BU Rare Diseases</t>
        </is>
      </c>
      <c r="F132" s="99" t="inlineStr">
        <is>
          <t>Print &amp; Production</t>
        </is>
      </c>
      <c r="G132" s="99" t="inlineStr">
        <is>
          <t>Oct-2025</t>
        </is>
      </c>
      <c r="H132" s="99" t="inlineStr">
        <is>
          <t>Q4 2025</t>
        </is>
      </c>
      <c r="I132" s="101" t="n">
        <v>10182.79</v>
      </c>
      <c r="J132" s="101" t="n">
        <v>11058.8</v>
      </c>
      <c r="K132" s="101" t="n">
        <v>9660.33</v>
      </c>
      <c r="L132" s="109" t="n">
        <v>-876.01</v>
      </c>
      <c r="M132" s="110" t="n">
        <v>-0.08599999999999999</v>
      </c>
      <c r="N132" s="104" t="n">
        <v>1.086028485316892</v>
      </c>
      <c r="O132" s="111" t="inlineStr">
        <is>
          <t>Over</t>
        </is>
      </c>
      <c r="P132" s="76" t="inlineStr">
        <is>
          <t>Watch</t>
        </is>
      </c>
    </row>
    <row r="133" ht="16" customHeight="1">
      <c r="A133" s="106" t="inlineStr">
        <is>
          <t>CC-00132</t>
        </is>
      </c>
      <c r="B133" s="71" t="inlineStr">
        <is>
          <t>EVT-2025-012</t>
        </is>
      </c>
      <c r="C133" s="70" t="inlineStr">
        <is>
          <t>Rarzolene KOL Meeting Istanbul Oct 2025</t>
        </is>
      </c>
      <c r="D133" s="70" t="inlineStr">
        <is>
          <t>Rare Diseases</t>
        </is>
      </c>
      <c r="E133" s="70" t="inlineStr">
        <is>
          <t>BU Rare Diseases</t>
        </is>
      </c>
      <c r="F133" s="71" t="inlineStr">
        <is>
          <t>Miscellaneous</t>
        </is>
      </c>
      <c r="G133" s="71" t="inlineStr">
        <is>
          <t>Oct-2025</t>
        </is>
      </c>
      <c r="H133" s="71" t="inlineStr">
        <is>
          <t>Q4 2025</t>
        </is>
      </c>
      <c r="I133" s="73" t="n">
        <v>10182.79</v>
      </c>
      <c r="J133" s="73" t="n">
        <v>7268.19</v>
      </c>
      <c r="K133" s="73" t="n">
        <v>5199.71</v>
      </c>
      <c r="L133" s="80" t="n">
        <v>2914.6</v>
      </c>
      <c r="M133" s="78" t="n">
        <v>0.2862</v>
      </c>
      <c r="N133" s="107" t="n">
        <v>0.7137719623010981</v>
      </c>
      <c r="O133" s="108" t="inlineStr">
        <is>
          <t>Under</t>
        </is>
      </c>
      <c r="P133" s="69" t="inlineStr">
        <is>
          <t>On Track</t>
        </is>
      </c>
    </row>
    <row r="134" ht="16" customHeight="1">
      <c r="A134" s="98" t="inlineStr">
        <is>
          <t>CC-00133</t>
        </is>
      </c>
      <c r="B134" s="99" t="inlineStr">
        <is>
          <t>EVT-2025-013</t>
        </is>
      </c>
      <c r="C134" s="100" t="inlineStr">
        <is>
          <t>Thrombovex KOL Meeting Berlin Sep 2025</t>
        </is>
      </c>
      <c r="D134" s="100" t="inlineStr">
        <is>
          <t>Hematology</t>
        </is>
      </c>
      <c r="E134" s="100" t="inlineStr">
        <is>
          <t>BU Oncology</t>
        </is>
      </c>
      <c r="F134" s="99" t="inlineStr">
        <is>
          <t>Airfare</t>
        </is>
      </c>
      <c r="G134" s="99" t="inlineStr">
        <is>
          <t>Sep-2025</t>
        </is>
      </c>
      <c r="H134" s="99" t="inlineStr">
        <is>
          <t>Q3 2025</t>
        </is>
      </c>
      <c r="I134" s="101" t="n">
        <v>45427.86</v>
      </c>
      <c r="J134" s="101" t="n">
        <v>38169.6</v>
      </c>
      <c r="K134" s="101" t="n">
        <v>0</v>
      </c>
      <c r="L134" s="102" t="n">
        <v>7258.26</v>
      </c>
      <c r="M134" s="103" t="n">
        <v>0.1598</v>
      </c>
      <c r="N134" s="104" t="n">
        <v>0.8402244789871237</v>
      </c>
      <c r="O134" s="105" t="inlineStr">
        <is>
          <t>Under</t>
        </is>
      </c>
      <c r="P134" s="69" t="inlineStr">
        <is>
          <t>On Track</t>
        </is>
      </c>
    </row>
    <row r="135" ht="16" customHeight="1">
      <c r="A135" s="106" t="inlineStr">
        <is>
          <t>CC-00134</t>
        </is>
      </c>
      <c r="B135" s="71" t="inlineStr">
        <is>
          <t>EVT-2025-013</t>
        </is>
      </c>
      <c r="C135" s="70" t="inlineStr">
        <is>
          <t>Thrombovex KOL Meeting Berlin Sep 2025</t>
        </is>
      </c>
      <c r="D135" s="70" t="inlineStr">
        <is>
          <t>Hematology</t>
        </is>
      </c>
      <c r="E135" s="70" t="inlineStr">
        <is>
          <t>BU Oncology</t>
        </is>
      </c>
      <c r="F135" s="71" t="inlineStr">
        <is>
          <t>Hotel</t>
        </is>
      </c>
      <c r="G135" s="71" t="inlineStr">
        <is>
          <t>Sep-2025</t>
        </is>
      </c>
      <c r="H135" s="71" t="inlineStr">
        <is>
          <t>Q3 2025</t>
        </is>
      </c>
      <c r="I135" s="73" t="n">
        <v>81770.14999999999</v>
      </c>
      <c r="J135" s="73" t="n">
        <v>70495.37</v>
      </c>
      <c r="K135" s="73" t="n">
        <v>0</v>
      </c>
      <c r="L135" s="80" t="n">
        <v>11274.78</v>
      </c>
      <c r="M135" s="78" t="n">
        <v>0.1379</v>
      </c>
      <c r="N135" s="107" t="n">
        <v>0.8621161878754044</v>
      </c>
      <c r="O135" s="108" t="inlineStr">
        <is>
          <t>Under</t>
        </is>
      </c>
      <c r="P135" s="69" t="inlineStr">
        <is>
          <t>On Track</t>
        </is>
      </c>
    </row>
    <row r="136" ht="16" customHeight="1">
      <c r="A136" s="98" t="inlineStr">
        <is>
          <t>CC-00135</t>
        </is>
      </c>
      <c r="B136" s="99" t="inlineStr">
        <is>
          <t>EVT-2025-013</t>
        </is>
      </c>
      <c r="C136" s="100" t="inlineStr">
        <is>
          <t>Thrombovex KOL Meeting Berlin Sep 2025</t>
        </is>
      </c>
      <c r="D136" s="100" t="inlineStr">
        <is>
          <t>Hematology</t>
        </is>
      </c>
      <c r="E136" s="100" t="inlineStr">
        <is>
          <t>BU Oncology</t>
        </is>
      </c>
      <c r="F136" s="99" t="inlineStr">
        <is>
          <t>Venue</t>
        </is>
      </c>
      <c r="G136" s="99" t="inlineStr">
        <is>
          <t>Sep-2025</t>
        </is>
      </c>
      <c r="H136" s="99" t="inlineStr">
        <is>
          <t>Q3 2025</t>
        </is>
      </c>
      <c r="I136" s="101" t="n">
        <v>68141.78999999999</v>
      </c>
      <c r="J136" s="101" t="n">
        <v>65456.42</v>
      </c>
      <c r="K136" s="101" t="n">
        <v>0</v>
      </c>
      <c r="L136" s="102" t="n">
        <v>2685.37</v>
      </c>
      <c r="M136" s="103" t="n">
        <v>0.0394</v>
      </c>
      <c r="N136" s="104" t="n">
        <v>0.9605914373543754</v>
      </c>
      <c r="O136" s="105" t="inlineStr">
        <is>
          <t>Under</t>
        </is>
      </c>
      <c r="P136" s="69" t="inlineStr">
        <is>
          <t>On Track</t>
        </is>
      </c>
    </row>
    <row r="137" ht="16" customHeight="1">
      <c r="A137" s="106" t="inlineStr">
        <is>
          <t>CC-00136</t>
        </is>
      </c>
      <c r="B137" s="71" t="inlineStr">
        <is>
          <t>EVT-2025-013</t>
        </is>
      </c>
      <c r="C137" s="70" t="inlineStr">
        <is>
          <t>Thrombovex KOL Meeting Berlin Sep 2025</t>
        </is>
      </c>
      <c r="D137" s="70" t="inlineStr">
        <is>
          <t>Hematology</t>
        </is>
      </c>
      <c r="E137" s="70" t="inlineStr">
        <is>
          <t>BU Oncology</t>
        </is>
      </c>
      <c r="F137" s="71" t="inlineStr">
        <is>
          <t>F&amp;B</t>
        </is>
      </c>
      <c r="G137" s="71" t="inlineStr">
        <is>
          <t>Sep-2025</t>
        </is>
      </c>
      <c r="H137" s="71" t="inlineStr">
        <is>
          <t>Q3 2025</t>
        </is>
      </c>
      <c r="I137" s="73" t="n">
        <v>54513.43</v>
      </c>
      <c r="J137" s="73" t="n">
        <v>53821.28</v>
      </c>
      <c r="K137" s="73" t="n">
        <v>0</v>
      </c>
      <c r="L137" s="80" t="n">
        <v>692.15</v>
      </c>
      <c r="M137" s="78" t="n">
        <v>0.0127</v>
      </c>
      <c r="N137" s="107" t="n">
        <v>0.9873031287886306</v>
      </c>
      <c r="O137" s="108" t="inlineStr">
        <is>
          <t>Under</t>
        </is>
      </c>
      <c r="P137" s="69" t="inlineStr">
        <is>
          <t>On Track</t>
        </is>
      </c>
    </row>
    <row r="138" ht="16" customHeight="1">
      <c r="A138" s="98" t="inlineStr">
        <is>
          <t>CC-00137</t>
        </is>
      </c>
      <c r="B138" s="99" t="inlineStr">
        <is>
          <t>EVT-2025-013</t>
        </is>
      </c>
      <c r="C138" s="100" t="inlineStr">
        <is>
          <t>Thrombovex KOL Meeting Berlin Sep 2025</t>
        </is>
      </c>
      <c r="D138" s="100" t="inlineStr">
        <is>
          <t>Hematology</t>
        </is>
      </c>
      <c r="E138" s="100" t="inlineStr">
        <is>
          <t>BU Oncology</t>
        </is>
      </c>
      <c r="F138" s="99" t="inlineStr">
        <is>
          <t>Logistics</t>
        </is>
      </c>
      <c r="G138" s="99" t="inlineStr">
        <is>
          <t>Sep-2025</t>
        </is>
      </c>
      <c r="H138" s="99" t="inlineStr">
        <is>
          <t>Q3 2025</t>
        </is>
      </c>
      <c r="I138" s="101" t="n">
        <v>27256.72</v>
      </c>
      <c r="J138" s="101" t="n">
        <v>21535.4</v>
      </c>
      <c r="K138" s="101" t="n">
        <v>0</v>
      </c>
      <c r="L138" s="102" t="n">
        <v>5721.32</v>
      </c>
      <c r="M138" s="103" t="n">
        <v>0.2099</v>
      </c>
      <c r="N138" s="104" t="n">
        <v>0.7900950664643435</v>
      </c>
      <c r="O138" s="105" t="inlineStr">
        <is>
          <t>Under</t>
        </is>
      </c>
      <c r="P138" s="69" t="inlineStr">
        <is>
          <t>On Track</t>
        </is>
      </c>
    </row>
    <row r="139" ht="16" customHeight="1">
      <c r="A139" s="106" t="inlineStr">
        <is>
          <t>CC-00138</t>
        </is>
      </c>
      <c r="B139" s="71" t="inlineStr">
        <is>
          <t>EVT-2025-013</t>
        </is>
      </c>
      <c r="C139" s="70" t="inlineStr">
        <is>
          <t>Thrombovex KOL Meeting Berlin Sep 2025</t>
        </is>
      </c>
      <c r="D139" s="70" t="inlineStr">
        <is>
          <t>Hematology</t>
        </is>
      </c>
      <c r="E139" s="70" t="inlineStr">
        <is>
          <t>BU Oncology</t>
        </is>
      </c>
      <c r="F139" s="71" t="inlineStr">
        <is>
          <t>AV &amp; Technology</t>
        </is>
      </c>
      <c r="G139" s="71" t="inlineStr">
        <is>
          <t>Sep-2025</t>
        </is>
      </c>
      <c r="H139" s="71" t="inlineStr">
        <is>
          <t>Q3 2025</t>
        </is>
      </c>
      <c r="I139" s="73" t="n">
        <v>36342.29</v>
      </c>
      <c r="J139" s="73" t="n">
        <v>36735.9</v>
      </c>
      <c r="K139" s="73" t="n">
        <v>0</v>
      </c>
      <c r="L139" s="74" t="n">
        <v>-393.61</v>
      </c>
      <c r="M139" s="78" t="n">
        <v>-0.0108</v>
      </c>
      <c r="N139" s="107" t="n">
        <v>1.01083063285225</v>
      </c>
      <c r="O139" s="112" t="inlineStr">
        <is>
          <t>Over</t>
        </is>
      </c>
      <c r="P139" s="69" t="inlineStr">
        <is>
          <t>On Track</t>
        </is>
      </c>
    </row>
    <row r="140" ht="16" customHeight="1">
      <c r="A140" s="98" t="inlineStr">
        <is>
          <t>CC-00139</t>
        </is>
      </c>
      <c r="B140" s="99" t="inlineStr">
        <is>
          <t>EVT-2025-013</t>
        </is>
      </c>
      <c r="C140" s="100" t="inlineStr">
        <is>
          <t>Thrombovex KOL Meeting Berlin Sep 2025</t>
        </is>
      </c>
      <c r="D140" s="100" t="inlineStr">
        <is>
          <t>Hematology</t>
        </is>
      </c>
      <c r="E140" s="100" t="inlineStr">
        <is>
          <t>BU Oncology</t>
        </is>
      </c>
      <c r="F140" s="99" t="inlineStr">
        <is>
          <t>Agency Fees</t>
        </is>
      </c>
      <c r="G140" s="99" t="inlineStr">
        <is>
          <t>Sep-2025</t>
        </is>
      </c>
      <c r="H140" s="99" t="inlineStr">
        <is>
          <t>Q3 2025</t>
        </is>
      </c>
      <c r="I140" s="101" t="n">
        <v>63599.01</v>
      </c>
      <c r="J140" s="101" t="n">
        <v>45861.14</v>
      </c>
      <c r="K140" s="101" t="n">
        <v>0</v>
      </c>
      <c r="L140" s="102" t="n">
        <v>17737.87</v>
      </c>
      <c r="M140" s="103" t="n">
        <v>0.2789</v>
      </c>
      <c r="N140" s="104" t="n">
        <v>0.7210983315620794</v>
      </c>
      <c r="O140" s="105" t="inlineStr">
        <is>
          <t>Under</t>
        </is>
      </c>
      <c r="P140" s="69" t="inlineStr">
        <is>
          <t>On Track</t>
        </is>
      </c>
    </row>
    <row r="141" ht="16" customHeight="1">
      <c r="A141" s="106" t="inlineStr">
        <is>
          <t>CC-00140</t>
        </is>
      </c>
      <c r="B141" s="71" t="inlineStr">
        <is>
          <t>EVT-2025-013</t>
        </is>
      </c>
      <c r="C141" s="70" t="inlineStr">
        <is>
          <t>Thrombovex KOL Meeting Berlin Sep 2025</t>
        </is>
      </c>
      <c r="D141" s="70" t="inlineStr">
        <is>
          <t>Hematology</t>
        </is>
      </c>
      <c r="E141" s="70" t="inlineStr">
        <is>
          <t>BU Oncology</t>
        </is>
      </c>
      <c r="F141" s="71" t="inlineStr">
        <is>
          <t>Speaker Fees</t>
        </is>
      </c>
      <c r="G141" s="71" t="inlineStr">
        <is>
          <t>Sep-2025</t>
        </is>
      </c>
      <c r="H141" s="71" t="inlineStr">
        <is>
          <t>Q3 2025</t>
        </is>
      </c>
      <c r="I141" s="73" t="n">
        <v>45427.86</v>
      </c>
      <c r="J141" s="73" t="n">
        <v>40262.04</v>
      </c>
      <c r="K141" s="73" t="n">
        <v>0</v>
      </c>
      <c r="L141" s="80" t="n">
        <v>5165.82</v>
      </c>
      <c r="M141" s="78" t="n">
        <v>0.1137</v>
      </c>
      <c r="N141" s="107" t="n">
        <v>0.8862852003154011</v>
      </c>
      <c r="O141" s="108" t="inlineStr">
        <is>
          <t>Under</t>
        </is>
      </c>
      <c r="P141" s="69" t="inlineStr">
        <is>
          <t>On Track</t>
        </is>
      </c>
    </row>
    <row r="142" ht="16" customHeight="1">
      <c r="A142" s="98" t="inlineStr">
        <is>
          <t>CC-00141</t>
        </is>
      </c>
      <c r="B142" s="99" t="inlineStr">
        <is>
          <t>EVT-2025-013</t>
        </is>
      </c>
      <c r="C142" s="100" t="inlineStr">
        <is>
          <t>Thrombovex KOL Meeting Berlin Sep 2025</t>
        </is>
      </c>
      <c r="D142" s="100" t="inlineStr">
        <is>
          <t>Hematology</t>
        </is>
      </c>
      <c r="E142" s="100" t="inlineStr">
        <is>
          <t>BU Oncology</t>
        </is>
      </c>
      <c r="F142" s="99" t="inlineStr">
        <is>
          <t>Translation</t>
        </is>
      </c>
      <c r="G142" s="99" t="inlineStr">
        <is>
          <t>Sep-2025</t>
        </is>
      </c>
      <c r="H142" s="99" t="inlineStr">
        <is>
          <t>Q3 2025</t>
        </is>
      </c>
      <c r="I142" s="101" t="n">
        <v>13628.36</v>
      </c>
      <c r="J142" s="101" t="n">
        <v>12950.49</v>
      </c>
      <c r="K142" s="101" t="n">
        <v>0</v>
      </c>
      <c r="L142" s="102" t="n">
        <v>677.87</v>
      </c>
      <c r="M142" s="103" t="n">
        <v>0.0497</v>
      </c>
      <c r="N142" s="104" t="n">
        <v>0.9502603394685787</v>
      </c>
      <c r="O142" s="105" t="inlineStr">
        <is>
          <t>Under</t>
        </is>
      </c>
      <c r="P142" s="69" t="inlineStr">
        <is>
          <t>On Track</t>
        </is>
      </c>
    </row>
    <row r="143" ht="16" customHeight="1">
      <c r="A143" s="106" t="inlineStr">
        <is>
          <t>CC-00142</t>
        </is>
      </c>
      <c r="B143" s="71" t="inlineStr">
        <is>
          <t>EVT-2025-013</t>
        </is>
      </c>
      <c r="C143" s="70" t="inlineStr">
        <is>
          <t>Thrombovex KOL Meeting Berlin Sep 2025</t>
        </is>
      </c>
      <c r="D143" s="70" t="inlineStr">
        <is>
          <t>Hematology</t>
        </is>
      </c>
      <c r="E143" s="70" t="inlineStr">
        <is>
          <t>BU Oncology</t>
        </is>
      </c>
      <c r="F143" s="71" t="inlineStr">
        <is>
          <t>Print &amp; Production</t>
        </is>
      </c>
      <c r="G143" s="71" t="inlineStr">
        <is>
          <t>Sep-2025</t>
        </is>
      </c>
      <c r="H143" s="71" t="inlineStr">
        <is>
          <t>Q3 2025</t>
        </is>
      </c>
      <c r="I143" s="73" t="n">
        <v>9085.57</v>
      </c>
      <c r="J143" s="73" t="n">
        <v>6318.03</v>
      </c>
      <c r="K143" s="73" t="n">
        <v>0</v>
      </c>
      <c r="L143" s="80" t="n">
        <v>2767.54</v>
      </c>
      <c r="M143" s="78" t="n">
        <v>0.3046</v>
      </c>
      <c r="N143" s="107" t="n">
        <v>0.6953917035474935</v>
      </c>
      <c r="O143" s="108" t="inlineStr">
        <is>
          <t>Under</t>
        </is>
      </c>
      <c r="P143" s="69" t="inlineStr">
        <is>
          <t>On Track</t>
        </is>
      </c>
    </row>
    <row r="144" ht="16" customHeight="1">
      <c r="A144" s="98" t="inlineStr">
        <is>
          <t>CC-00143</t>
        </is>
      </c>
      <c r="B144" s="99" t="inlineStr">
        <is>
          <t>EVT-2025-013</t>
        </is>
      </c>
      <c r="C144" s="100" t="inlineStr">
        <is>
          <t>Thrombovex KOL Meeting Berlin Sep 2025</t>
        </is>
      </c>
      <c r="D144" s="100" t="inlineStr">
        <is>
          <t>Hematology</t>
        </is>
      </c>
      <c r="E144" s="100" t="inlineStr">
        <is>
          <t>BU Oncology</t>
        </is>
      </c>
      <c r="F144" s="99" t="inlineStr">
        <is>
          <t>Miscellaneous</t>
        </is>
      </c>
      <c r="G144" s="99" t="inlineStr">
        <is>
          <t>Sep-2025</t>
        </is>
      </c>
      <c r="H144" s="99" t="inlineStr">
        <is>
          <t>Q3 2025</t>
        </is>
      </c>
      <c r="I144" s="101" t="n">
        <v>9085.57</v>
      </c>
      <c r="J144" s="101" t="n">
        <v>7454.89</v>
      </c>
      <c r="K144" s="101" t="n">
        <v>0</v>
      </c>
      <c r="L144" s="102" t="n">
        <v>1630.68</v>
      </c>
      <c r="M144" s="103" t="n">
        <v>0.1795</v>
      </c>
      <c r="N144" s="104" t="n">
        <v>0.8205197912734149</v>
      </c>
      <c r="O144" s="105" t="inlineStr">
        <is>
          <t>Under</t>
        </is>
      </c>
      <c r="P144" s="69" t="inlineStr">
        <is>
          <t>On Track</t>
        </is>
      </c>
    </row>
    <row r="145" ht="16" customHeight="1">
      <c r="A145" s="106" t="inlineStr">
        <is>
          <t>CC-00144</t>
        </is>
      </c>
      <c r="B145" s="71" t="inlineStr">
        <is>
          <t>EVT-2025-014</t>
        </is>
      </c>
      <c r="C145" s="70" t="inlineStr">
        <is>
          <t>Cognivex Speaker Program Athens Nov 2025</t>
        </is>
      </c>
      <c r="D145" s="70" t="inlineStr">
        <is>
          <t>Neurology</t>
        </is>
      </c>
      <c r="E145" s="70" t="inlineStr">
        <is>
          <t>BU Neuroscience</t>
        </is>
      </c>
      <c r="F145" s="71" t="inlineStr">
        <is>
          <t>Airfare</t>
        </is>
      </c>
      <c r="G145" s="71" t="inlineStr">
        <is>
          <t>Nov-2025</t>
        </is>
      </c>
      <c r="H145" s="71" t="inlineStr">
        <is>
          <t>Q4 2025</t>
        </is>
      </c>
      <c r="I145" s="73" t="n">
        <v>48053.76</v>
      </c>
      <c r="J145" s="73" t="n">
        <v>38894.24</v>
      </c>
      <c r="K145" s="73" t="n">
        <v>32044.5</v>
      </c>
      <c r="L145" s="80" t="n">
        <v>9159.52</v>
      </c>
      <c r="M145" s="78" t="n">
        <v>0.1906</v>
      </c>
      <c r="N145" s="107" t="n">
        <v>0.8093901496990037</v>
      </c>
      <c r="O145" s="108" t="inlineStr">
        <is>
          <t>Under</t>
        </is>
      </c>
      <c r="P145" s="69" t="inlineStr">
        <is>
          <t>On Track</t>
        </is>
      </c>
    </row>
    <row r="146" ht="16" customHeight="1">
      <c r="A146" s="98" t="inlineStr">
        <is>
          <t>CC-00145</t>
        </is>
      </c>
      <c r="B146" s="99" t="inlineStr">
        <is>
          <t>EVT-2025-014</t>
        </is>
      </c>
      <c r="C146" s="100" t="inlineStr">
        <is>
          <t>Cognivex Speaker Program Athens Nov 2025</t>
        </is>
      </c>
      <c r="D146" s="100" t="inlineStr">
        <is>
          <t>Neurology</t>
        </is>
      </c>
      <c r="E146" s="100" t="inlineStr">
        <is>
          <t>BU Neuroscience</t>
        </is>
      </c>
      <c r="F146" s="99" t="inlineStr">
        <is>
          <t>Hotel</t>
        </is>
      </c>
      <c r="G146" s="99" t="inlineStr">
        <is>
          <t>Nov-2025</t>
        </is>
      </c>
      <c r="H146" s="99" t="inlineStr">
        <is>
          <t>Q4 2025</t>
        </is>
      </c>
      <c r="I146" s="101" t="n">
        <v>86496.77</v>
      </c>
      <c r="J146" s="101" t="n">
        <v>60716.05</v>
      </c>
      <c r="K146" s="101" t="n">
        <v>51641.78</v>
      </c>
      <c r="L146" s="102" t="n">
        <v>25780.72</v>
      </c>
      <c r="M146" s="103" t="n">
        <v>0.2981</v>
      </c>
      <c r="N146" s="104" t="n">
        <v>0.701945864568122</v>
      </c>
      <c r="O146" s="105" t="inlineStr">
        <is>
          <t>Under</t>
        </is>
      </c>
      <c r="P146" s="69" t="inlineStr">
        <is>
          <t>On Track</t>
        </is>
      </c>
    </row>
    <row r="147" ht="16" customHeight="1">
      <c r="A147" s="106" t="inlineStr">
        <is>
          <t>CC-00146</t>
        </is>
      </c>
      <c r="B147" s="71" t="inlineStr">
        <is>
          <t>EVT-2025-014</t>
        </is>
      </c>
      <c r="C147" s="70" t="inlineStr">
        <is>
          <t>Cognivex Speaker Program Athens Nov 2025</t>
        </is>
      </c>
      <c r="D147" s="70" t="inlineStr">
        <is>
          <t>Neurology</t>
        </is>
      </c>
      <c r="E147" s="70" t="inlineStr">
        <is>
          <t>BU Neuroscience</t>
        </is>
      </c>
      <c r="F147" s="71" t="inlineStr">
        <is>
          <t>Venue</t>
        </is>
      </c>
      <c r="G147" s="71" t="inlineStr">
        <is>
          <t>Nov-2025</t>
        </is>
      </c>
      <c r="H147" s="71" t="inlineStr">
        <is>
          <t>Q4 2025</t>
        </is>
      </c>
      <c r="I147" s="73" t="n">
        <v>72080.64</v>
      </c>
      <c r="J147" s="73" t="n">
        <v>65286.25</v>
      </c>
      <c r="K147" s="73" t="n">
        <v>54937.18</v>
      </c>
      <c r="L147" s="80" t="n">
        <v>6794.39</v>
      </c>
      <c r="M147" s="78" t="n">
        <v>0.09429999999999999</v>
      </c>
      <c r="N147" s="107" t="n">
        <v>0.9057390444923907</v>
      </c>
      <c r="O147" s="108" t="inlineStr">
        <is>
          <t>Under</t>
        </is>
      </c>
      <c r="P147" s="69" t="inlineStr">
        <is>
          <t>On Track</t>
        </is>
      </c>
    </row>
    <row r="148" ht="16" customHeight="1">
      <c r="A148" s="98" t="inlineStr">
        <is>
          <t>CC-00147</t>
        </is>
      </c>
      <c r="B148" s="99" t="inlineStr">
        <is>
          <t>EVT-2025-014</t>
        </is>
      </c>
      <c r="C148" s="100" t="inlineStr">
        <is>
          <t>Cognivex Speaker Program Athens Nov 2025</t>
        </is>
      </c>
      <c r="D148" s="100" t="inlineStr">
        <is>
          <t>Neurology</t>
        </is>
      </c>
      <c r="E148" s="100" t="inlineStr">
        <is>
          <t>BU Neuroscience</t>
        </is>
      </c>
      <c r="F148" s="99" t="inlineStr">
        <is>
          <t>F&amp;B</t>
        </is>
      </c>
      <c r="G148" s="99" t="inlineStr">
        <is>
          <t>Nov-2025</t>
        </is>
      </c>
      <c r="H148" s="99" t="inlineStr">
        <is>
          <t>Q4 2025</t>
        </is>
      </c>
      <c r="I148" s="101" t="n">
        <v>57664.51</v>
      </c>
      <c r="J148" s="101" t="n">
        <v>59059.33</v>
      </c>
      <c r="K148" s="101" t="n">
        <v>54229.5</v>
      </c>
      <c r="L148" s="109" t="n">
        <v>-1394.82</v>
      </c>
      <c r="M148" s="103" t="n">
        <v>-0.0242</v>
      </c>
      <c r="N148" s="104" t="n">
        <v>1.024188534681037</v>
      </c>
      <c r="O148" s="111" t="inlineStr">
        <is>
          <t>Over</t>
        </is>
      </c>
      <c r="P148" s="69" t="inlineStr">
        <is>
          <t>On Track</t>
        </is>
      </c>
    </row>
    <row r="149" ht="16" customHeight="1">
      <c r="A149" s="106" t="inlineStr">
        <is>
          <t>CC-00148</t>
        </is>
      </c>
      <c r="B149" s="71" t="inlineStr">
        <is>
          <t>EVT-2025-014</t>
        </is>
      </c>
      <c r="C149" s="70" t="inlineStr">
        <is>
          <t>Cognivex Speaker Program Athens Nov 2025</t>
        </is>
      </c>
      <c r="D149" s="70" t="inlineStr">
        <is>
          <t>Neurology</t>
        </is>
      </c>
      <c r="E149" s="70" t="inlineStr">
        <is>
          <t>BU Neuroscience</t>
        </is>
      </c>
      <c r="F149" s="71" t="inlineStr">
        <is>
          <t>Logistics</t>
        </is>
      </c>
      <c r="G149" s="71" t="inlineStr">
        <is>
          <t>Nov-2025</t>
        </is>
      </c>
      <c r="H149" s="71" t="inlineStr">
        <is>
          <t>Q4 2025</t>
        </is>
      </c>
      <c r="I149" s="73" t="n">
        <v>28832.26</v>
      </c>
      <c r="J149" s="73" t="n">
        <v>27473.9</v>
      </c>
      <c r="K149" s="73" t="n">
        <v>23506.81</v>
      </c>
      <c r="L149" s="80" t="n">
        <v>1358.36</v>
      </c>
      <c r="M149" s="78" t="n">
        <v>0.0471</v>
      </c>
      <c r="N149" s="107" t="n">
        <v>0.9528874947714818</v>
      </c>
      <c r="O149" s="108" t="inlineStr">
        <is>
          <t>Under</t>
        </is>
      </c>
      <c r="P149" s="69" t="inlineStr">
        <is>
          <t>On Track</t>
        </is>
      </c>
    </row>
    <row r="150" ht="16" customHeight="1">
      <c r="A150" s="98" t="inlineStr">
        <is>
          <t>CC-00149</t>
        </is>
      </c>
      <c r="B150" s="99" t="inlineStr">
        <is>
          <t>EVT-2025-014</t>
        </is>
      </c>
      <c r="C150" s="100" t="inlineStr">
        <is>
          <t>Cognivex Speaker Program Athens Nov 2025</t>
        </is>
      </c>
      <c r="D150" s="100" t="inlineStr">
        <is>
          <t>Neurology</t>
        </is>
      </c>
      <c r="E150" s="100" t="inlineStr">
        <is>
          <t>BU Neuroscience</t>
        </is>
      </c>
      <c r="F150" s="99" t="inlineStr">
        <is>
          <t>AV &amp; Technology</t>
        </is>
      </c>
      <c r="G150" s="99" t="inlineStr">
        <is>
          <t>Nov-2025</t>
        </is>
      </c>
      <c r="H150" s="99" t="inlineStr">
        <is>
          <t>Q4 2025</t>
        </is>
      </c>
      <c r="I150" s="101" t="n">
        <v>38443.01</v>
      </c>
      <c r="J150" s="101" t="n">
        <v>33846.89</v>
      </c>
      <c r="K150" s="101" t="n">
        <v>33827.83</v>
      </c>
      <c r="L150" s="102" t="n">
        <v>4596.12</v>
      </c>
      <c r="M150" s="103" t="n">
        <v>0.1196</v>
      </c>
      <c r="N150" s="104" t="n">
        <v>0.8804432847479945</v>
      </c>
      <c r="O150" s="105" t="inlineStr">
        <is>
          <t>Under</t>
        </is>
      </c>
      <c r="P150" s="69" t="inlineStr">
        <is>
          <t>On Track</t>
        </is>
      </c>
    </row>
    <row r="151" ht="16" customHeight="1">
      <c r="A151" s="106" t="inlineStr">
        <is>
          <t>CC-00150</t>
        </is>
      </c>
      <c r="B151" s="71" t="inlineStr">
        <is>
          <t>EVT-2025-014</t>
        </is>
      </c>
      <c r="C151" s="70" t="inlineStr">
        <is>
          <t>Cognivex Speaker Program Athens Nov 2025</t>
        </is>
      </c>
      <c r="D151" s="70" t="inlineStr">
        <is>
          <t>Neurology</t>
        </is>
      </c>
      <c r="E151" s="70" t="inlineStr">
        <is>
          <t>BU Neuroscience</t>
        </is>
      </c>
      <c r="F151" s="71" t="inlineStr">
        <is>
          <t>Agency Fees</t>
        </is>
      </c>
      <c r="G151" s="71" t="inlineStr">
        <is>
          <t>Nov-2025</t>
        </is>
      </c>
      <c r="H151" s="71" t="inlineStr">
        <is>
          <t>Q4 2025</t>
        </is>
      </c>
      <c r="I151" s="73" t="n">
        <v>67275.25999999999</v>
      </c>
      <c r="J151" s="73" t="n">
        <v>56456.42</v>
      </c>
      <c r="K151" s="73" t="n">
        <v>45901.75</v>
      </c>
      <c r="L151" s="80" t="n">
        <v>10818.84</v>
      </c>
      <c r="M151" s="78" t="n">
        <v>0.1608</v>
      </c>
      <c r="N151" s="107" t="n">
        <v>0.839185459855525</v>
      </c>
      <c r="O151" s="108" t="inlineStr">
        <is>
          <t>Under</t>
        </is>
      </c>
      <c r="P151" s="69" t="inlineStr">
        <is>
          <t>On Track</t>
        </is>
      </c>
    </row>
    <row r="152" ht="16" customHeight="1">
      <c r="A152" s="98" t="inlineStr">
        <is>
          <t>CC-00151</t>
        </is>
      </c>
      <c r="B152" s="99" t="inlineStr">
        <is>
          <t>EVT-2025-014</t>
        </is>
      </c>
      <c r="C152" s="100" t="inlineStr">
        <is>
          <t>Cognivex Speaker Program Athens Nov 2025</t>
        </is>
      </c>
      <c r="D152" s="100" t="inlineStr">
        <is>
          <t>Neurology</t>
        </is>
      </c>
      <c r="E152" s="100" t="inlineStr">
        <is>
          <t>BU Neuroscience</t>
        </is>
      </c>
      <c r="F152" s="99" t="inlineStr">
        <is>
          <t>Speaker Fees</t>
        </is>
      </c>
      <c r="G152" s="99" t="inlineStr">
        <is>
          <t>Nov-2025</t>
        </is>
      </c>
      <c r="H152" s="99" t="inlineStr">
        <is>
          <t>Q4 2025</t>
        </is>
      </c>
      <c r="I152" s="101" t="n">
        <v>48053.76</v>
      </c>
      <c r="J152" s="101" t="n">
        <v>51818.42</v>
      </c>
      <c r="K152" s="101" t="n">
        <v>43418.61</v>
      </c>
      <c r="L152" s="109" t="n">
        <v>-3764.66</v>
      </c>
      <c r="M152" s="110" t="n">
        <v>-0.07829999999999999</v>
      </c>
      <c r="N152" s="104" t="n">
        <v>1.078342672873049</v>
      </c>
      <c r="O152" s="111" t="inlineStr">
        <is>
          <t>Over</t>
        </is>
      </c>
      <c r="P152" s="76" t="inlineStr">
        <is>
          <t>Watch</t>
        </is>
      </c>
    </row>
    <row r="153" ht="16" customHeight="1">
      <c r="A153" s="106" t="inlineStr">
        <is>
          <t>CC-00152</t>
        </is>
      </c>
      <c r="B153" s="71" t="inlineStr">
        <is>
          <t>EVT-2025-014</t>
        </is>
      </c>
      <c r="C153" s="70" t="inlineStr">
        <is>
          <t>Cognivex Speaker Program Athens Nov 2025</t>
        </is>
      </c>
      <c r="D153" s="70" t="inlineStr">
        <is>
          <t>Neurology</t>
        </is>
      </c>
      <c r="E153" s="70" t="inlineStr">
        <is>
          <t>BU Neuroscience</t>
        </is>
      </c>
      <c r="F153" s="71" t="inlineStr">
        <is>
          <t>Translation</t>
        </is>
      </c>
      <c r="G153" s="71" t="inlineStr">
        <is>
          <t>Nov-2025</t>
        </is>
      </c>
      <c r="H153" s="71" t="inlineStr">
        <is>
          <t>Q4 2025</t>
        </is>
      </c>
      <c r="I153" s="73" t="n">
        <v>14416.13</v>
      </c>
      <c r="J153" s="73" t="n">
        <v>12492.49</v>
      </c>
      <c r="K153" s="73" t="n">
        <v>10792.04</v>
      </c>
      <c r="L153" s="80" t="n">
        <v>1923.64</v>
      </c>
      <c r="M153" s="78" t="n">
        <v>0.1334</v>
      </c>
      <c r="N153" s="107" t="n">
        <v>0.866563356462518</v>
      </c>
      <c r="O153" s="108" t="inlineStr">
        <is>
          <t>Under</t>
        </is>
      </c>
      <c r="P153" s="69" t="inlineStr">
        <is>
          <t>On Track</t>
        </is>
      </c>
    </row>
    <row r="154" ht="16" customHeight="1">
      <c r="A154" s="98" t="inlineStr">
        <is>
          <t>CC-00153</t>
        </is>
      </c>
      <c r="B154" s="99" t="inlineStr">
        <is>
          <t>EVT-2025-014</t>
        </is>
      </c>
      <c r="C154" s="100" t="inlineStr">
        <is>
          <t>Cognivex Speaker Program Athens Nov 2025</t>
        </is>
      </c>
      <c r="D154" s="100" t="inlineStr">
        <is>
          <t>Neurology</t>
        </is>
      </c>
      <c r="E154" s="100" t="inlineStr">
        <is>
          <t>BU Neuroscience</t>
        </is>
      </c>
      <c r="F154" s="99" t="inlineStr">
        <is>
          <t>Print &amp; Production</t>
        </is>
      </c>
      <c r="G154" s="99" t="inlineStr">
        <is>
          <t>Nov-2025</t>
        </is>
      </c>
      <c r="H154" s="99" t="inlineStr">
        <is>
          <t>Q4 2025</t>
        </is>
      </c>
      <c r="I154" s="101" t="n">
        <v>9610.75</v>
      </c>
      <c r="J154" s="101" t="n">
        <v>9014.25</v>
      </c>
      <c r="K154" s="101" t="n">
        <v>8656.35</v>
      </c>
      <c r="L154" s="102" t="n">
        <v>596.5</v>
      </c>
      <c r="M154" s="103" t="n">
        <v>0.0621</v>
      </c>
      <c r="N154" s="104" t="n">
        <v>0.9379340842285981</v>
      </c>
      <c r="O154" s="105" t="inlineStr">
        <is>
          <t>Under</t>
        </is>
      </c>
      <c r="P154" s="69" t="inlineStr">
        <is>
          <t>On Track</t>
        </is>
      </c>
    </row>
    <row r="155" ht="16" customHeight="1">
      <c r="A155" s="106" t="inlineStr">
        <is>
          <t>CC-00154</t>
        </is>
      </c>
      <c r="B155" s="71" t="inlineStr">
        <is>
          <t>EVT-2025-014</t>
        </is>
      </c>
      <c r="C155" s="70" t="inlineStr">
        <is>
          <t>Cognivex Speaker Program Athens Nov 2025</t>
        </is>
      </c>
      <c r="D155" s="70" t="inlineStr">
        <is>
          <t>Neurology</t>
        </is>
      </c>
      <c r="E155" s="70" t="inlineStr">
        <is>
          <t>BU Neuroscience</t>
        </is>
      </c>
      <c r="F155" s="71" t="inlineStr">
        <is>
          <t>Miscellaneous</t>
        </is>
      </c>
      <c r="G155" s="71" t="inlineStr">
        <is>
          <t>Nov-2025</t>
        </is>
      </c>
      <c r="H155" s="71" t="inlineStr">
        <is>
          <t>Q4 2025</t>
        </is>
      </c>
      <c r="I155" s="73" t="n">
        <v>9610.75</v>
      </c>
      <c r="J155" s="73" t="n">
        <v>9037.690000000001</v>
      </c>
      <c r="K155" s="73" t="n">
        <v>8505.33</v>
      </c>
      <c r="L155" s="80" t="n">
        <v>573.0599999999999</v>
      </c>
      <c r="M155" s="78" t="n">
        <v>0.0596</v>
      </c>
      <c r="N155" s="107" t="n">
        <v>0.9403730197955416</v>
      </c>
      <c r="O155" s="108" t="inlineStr">
        <is>
          <t>Under</t>
        </is>
      </c>
      <c r="P155" s="69" t="inlineStr">
        <is>
          <t>On Track</t>
        </is>
      </c>
    </row>
    <row r="156" ht="16" customHeight="1">
      <c r="A156" s="98" t="inlineStr">
        <is>
          <t>CC-00155</t>
        </is>
      </c>
      <c r="B156" s="99" t="inlineStr">
        <is>
          <t>EVT-2025-015</t>
        </is>
      </c>
      <c r="C156" s="100" t="inlineStr">
        <is>
          <t>Orphavex Congress Paris Dec 2025</t>
        </is>
      </c>
      <c r="D156" s="100" t="inlineStr">
        <is>
          <t>Rare Diseases</t>
        </is>
      </c>
      <c r="E156" s="100" t="inlineStr">
        <is>
          <t>BU Rare Diseases</t>
        </is>
      </c>
      <c r="F156" s="99" t="inlineStr">
        <is>
          <t>Airfare</t>
        </is>
      </c>
      <c r="G156" s="99" t="inlineStr">
        <is>
          <t>Dec-2025</t>
        </is>
      </c>
      <c r="H156" s="99" t="inlineStr">
        <is>
          <t>Q4 2025</t>
        </is>
      </c>
      <c r="I156" s="101" t="n">
        <v>16931.99</v>
      </c>
      <c r="J156" s="101" t="n">
        <v>12397.28</v>
      </c>
      <c r="K156" s="101" t="n">
        <v>10478.85</v>
      </c>
      <c r="L156" s="102" t="n">
        <v>4534.71</v>
      </c>
      <c r="M156" s="103" t="n">
        <v>0.2678</v>
      </c>
      <c r="N156" s="104" t="n">
        <v>0.732180919076848</v>
      </c>
      <c r="O156" s="105" t="inlineStr">
        <is>
          <t>Under</t>
        </is>
      </c>
      <c r="P156" s="69" t="inlineStr">
        <is>
          <t>On Track</t>
        </is>
      </c>
    </row>
    <row r="157" ht="16" customHeight="1">
      <c r="A157" s="106" t="inlineStr">
        <is>
          <t>CC-00156</t>
        </is>
      </c>
      <c r="B157" s="71" t="inlineStr">
        <is>
          <t>EVT-2025-015</t>
        </is>
      </c>
      <c r="C157" s="70" t="inlineStr">
        <is>
          <t>Orphavex Congress Paris Dec 2025</t>
        </is>
      </c>
      <c r="D157" s="70" t="inlineStr">
        <is>
          <t>Rare Diseases</t>
        </is>
      </c>
      <c r="E157" s="70" t="inlineStr">
        <is>
          <t>BU Rare Diseases</t>
        </is>
      </c>
      <c r="F157" s="71" t="inlineStr">
        <is>
          <t>Hotel</t>
        </is>
      </c>
      <c r="G157" s="71" t="inlineStr">
        <is>
          <t>Dec-2025</t>
        </is>
      </c>
      <c r="H157" s="71" t="inlineStr">
        <is>
          <t>Q4 2025</t>
        </is>
      </c>
      <c r="I157" s="73" t="n">
        <v>30477.59</v>
      </c>
      <c r="J157" s="73" t="n">
        <v>32875.22</v>
      </c>
      <c r="K157" s="73" t="n">
        <v>25764.37</v>
      </c>
      <c r="L157" s="74" t="n">
        <v>-2397.63</v>
      </c>
      <c r="M157" s="75" t="n">
        <v>-0.07870000000000001</v>
      </c>
      <c r="N157" s="107" t="n">
        <v>1.078668621764385</v>
      </c>
      <c r="O157" s="112" t="inlineStr">
        <is>
          <t>Over</t>
        </is>
      </c>
      <c r="P157" s="76" t="inlineStr">
        <is>
          <t>Watch</t>
        </is>
      </c>
    </row>
    <row r="158" ht="16" customHeight="1">
      <c r="A158" s="98" t="inlineStr">
        <is>
          <t>CC-00157</t>
        </is>
      </c>
      <c r="B158" s="99" t="inlineStr">
        <is>
          <t>EVT-2025-015</t>
        </is>
      </c>
      <c r="C158" s="100" t="inlineStr">
        <is>
          <t>Orphavex Congress Paris Dec 2025</t>
        </is>
      </c>
      <c r="D158" s="100" t="inlineStr">
        <is>
          <t>Rare Diseases</t>
        </is>
      </c>
      <c r="E158" s="100" t="inlineStr">
        <is>
          <t>BU Rare Diseases</t>
        </is>
      </c>
      <c r="F158" s="99" t="inlineStr">
        <is>
          <t>Venue</t>
        </is>
      </c>
      <c r="G158" s="99" t="inlineStr">
        <is>
          <t>Dec-2025</t>
        </is>
      </c>
      <c r="H158" s="99" t="inlineStr">
        <is>
          <t>Q4 2025</t>
        </is>
      </c>
      <c r="I158" s="101" t="n">
        <v>25397.99</v>
      </c>
      <c r="J158" s="101" t="n">
        <v>19029.43</v>
      </c>
      <c r="K158" s="101" t="n">
        <v>18695.38</v>
      </c>
      <c r="L158" s="102" t="n">
        <v>6368.56</v>
      </c>
      <c r="M158" s="103" t="n">
        <v>0.2508</v>
      </c>
      <c r="N158" s="104" t="n">
        <v>0.7492494484799781</v>
      </c>
      <c r="O158" s="105" t="inlineStr">
        <is>
          <t>Under</t>
        </is>
      </c>
      <c r="P158" s="69" t="inlineStr">
        <is>
          <t>On Track</t>
        </is>
      </c>
    </row>
    <row r="159" ht="16" customHeight="1">
      <c r="A159" s="106" t="inlineStr">
        <is>
          <t>CC-00158</t>
        </is>
      </c>
      <c r="B159" s="71" t="inlineStr">
        <is>
          <t>EVT-2025-015</t>
        </is>
      </c>
      <c r="C159" s="70" t="inlineStr">
        <is>
          <t>Orphavex Congress Paris Dec 2025</t>
        </is>
      </c>
      <c r="D159" s="70" t="inlineStr">
        <is>
          <t>Rare Diseases</t>
        </is>
      </c>
      <c r="E159" s="70" t="inlineStr">
        <is>
          <t>BU Rare Diseases</t>
        </is>
      </c>
      <c r="F159" s="71" t="inlineStr">
        <is>
          <t>F&amp;B</t>
        </is>
      </c>
      <c r="G159" s="71" t="inlineStr">
        <is>
          <t>Dec-2025</t>
        </is>
      </c>
      <c r="H159" s="71" t="inlineStr">
        <is>
          <t>Q4 2025</t>
        </is>
      </c>
      <c r="I159" s="73" t="n">
        <v>20318.39</v>
      </c>
      <c r="J159" s="73" t="n">
        <v>22170.01</v>
      </c>
      <c r="K159" s="73" t="n">
        <v>20648.09</v>
      </c>
      <c r="L159" s="74" t="n">
        <v>-1851.62</v>
      </c>
      <c r="M159" s="75" t="n">
        <v>-0.0911</v>
      </c>
      <c r="N159" s="107" t="n">
        <v>1.091130251954018</v>
      </c>
      <c r="O159" s="112" t="inlineStr">
        <is>
          <t>Over</t>
        </is>
      </c>
      <c r="P159" s="76" t="inlineStr">
        <is>
          <t>Watch</t>
        </is>
      </c>
    </row>
    <row r="160" ht="16" customHeight="1">
      <c r="A160" s="98" t="inlineStr">
        <is>
          <t>CC-00159</t>
        </is>
      </c>
      <c r="B160" s="99" t="inlineStr">
        <is>
          <t>EVT-2025-015</t>
        </is>
      </c>
      <c r="C160" s="100" t="inlineStr">
        <is>
          <t>Orphavex Congress Paris Dec 2025</t>
        </is>
      </c>
      <c r="D160" s="100" t="inlineStr">
        <is>
          <t>Rare Diseases</t>
        </is>
      </c>
      <c r="E160" s="100" t="inlineStr">
        <is>
          <t>BU Rare Diseases</t>
        </is>
      </c>
      <c r="F160" s="99" t="inlineStr">
        <is>
          <t>Logistics</t>
        </is>
      </c>
      <c r="G160" s="99" t="inlineStr">
        <is>
          <t>Dec-2025</t>
        </is>
      </c>
      <c r="H160" s="99" t="inlineStr">
        <is>
          <t>Q4 2025</t>
        </is>
      </c>
      <c r="I160" s="101" t="n">
        <v>10159.2</v>
      </c>
      <c r="J160" s="101" t="n">
        <v>9676.129999999999</v>
      </c>
      <c r="K160" s="101" t="n">
        <v>8776.950000000001</v>
      </c>
      <c r="L160" s="102" t="n">
        <v>483.07</v>
      </c>
      <c r="M160" s="103" t="n">
        <v>0.0476</v>
      </c>
      <c r="N160" s="104" t="n">
        <v>0.952449996062682</v>
      </c>
      <c r="O160" s="105" t="inlineStr">
        <is>
          <t>Under</t>
        </is>
      </c>
      <c r="P160" s="69" t="inlineStr">
        <is>
          <t>On Track</t>
        </is>
      </c>
    </row>
    <row r="161" ht="16" customHeight="1">
      <c r="A161" s="106" t="inlineStr">
        <is>
          <t>CC-00160</t>
        </is>
      </c>
      <c r="B161" s="71" t="inlineStr">
        <is>
          <t>EVT-2025-015</t>
        </is>
      </c>
      <c r="C161" s="70" t="inlineStr">
        <is>
          <t>Orphavex Congress Paris Dec 2025</t>
        </is>
      </c>
      <c r="D161" s="70" t="inlineStr">
        <is>
          <t>Rare Diseases</t>
        </is>
      </c>
      <c r="E161" s="70" t="inlineStr">
        <is>
          <t>BU Rare Diseases</t>
        </is>
      </c>
      <c r="F161" s="71" t="inlineStr">
        <is>
          <t>AV &amp; Technology</t>
        </is>
      </c>
      <c r="G161" s="71" t="inlineStr">
        <is>
          <t>Dec-2025</t>
        </is>
      </c>
      <c r="H161" s="71" t="inlineStr">
        <is>
          <t>Q4 2025</t>
        </is>
      </c>
      <c r="I161" s="73" t="n">
        <v>13545.59</v>
      </c>
      <c r="J161" s="73" t="n">
        <v>11439.27</v>
      </c>
      <c r="K161" s="73" t="n">
        <v>9654.07</v>
      </c>
      <c r="L161" s="80" t="n">
        <v>2106.32</v>
      </c>
      <c r="M161" s="78" t="n">
        <v>0.1555</v>
      </c>
      <c r="N161" s="107" t="n">
        <v>0.8445014207576045</v>
      </c>
      <c r="O161" s="108" t="inlineStr">
        <is>
          <t>Under</t>
        </is>
      </c>
      <c r="P161" s="69" t="inlineStr">
        <is>
          <t>On Track</t>
        </is>
      </c>
    </row>
    <row r="162" ht="16" customHeight="1">
      <c r="A162" s="98" t="inlineStr">
        <is>
          <t>CC-00161</t>
        </is>
      </c>
      <c r="B162" s="99" t="inlineStr">
        <is>
          <t>EVT-2025-015</t>
        </is>
      </c>
      <c r="C162" s="100" t="inlineStr">
        <is>
          <t>Orphavex Congress Paris Dec 2025</t>
        </is>
      </c>
      <c r="D162" s="100" t="inlineStr">
        <is>
          <t>Rare Diseases</t>
        </is>
      </c>
      <c r="E162" s="100" t="inlineStr">
        <is>
          <t>BU Rare Diseases</t>
        </is>
      </c>
      <c r="F162" s="99" t="inlineStr">
        <is>
          <t>Agency Fees</t>
        </is>
      </c>
      <c r="G162" s="99" t="inlineStr">
        <is>
          <t>Dec-2025</t>
        </is>
      </c>
      <c r="H162" s="99" t="inlineStr">
        <is>
          <t>Q4 2025</t>
        </is>
      </c>
      <c r="I162" s="101" t="n">
        <v>23704.79</v>
      </c>
      <c r="J162" s="101" t="n">
        <v>20865.99</v>
      </c>
      <c r="K162" s="101" t="n">
        <v>20455.88</v>
      </c>
      <c r="L162" s="102" t="n">
        <v>2838.8</v>
      </c>
      <c r="M162" s="103" t="n">
        <v>0.1198</v>
      </c>
      <c r="N162" s="104" t="n">
        <v>0.8802436132106634</v>
      </c>
      <c r="O162" s="105" t="inlineStr">
        <is>
          <t>Under</t>
        </is>
      </c>
      <c r="P162" s="69" t="inlineStr">
        <is>
          <t>On Track</t>
        </is>
      </c>
    </row>
    <row r="163" ht="16" customHeight="1">
      <c r="A163" s="106" t="inlineStr">
        <is>
          <t>CC-00162</t>
        </is>
      </c>
      <c r="B163" s="71" t="inlineStr">
        <is>
          <t>EVT-2025-015</t>
        </is>
      </c>
      <c r="C163" s="70" t="inlineStr">
        <is>
          <t>Orphavex Congress Paris Dec 2025</t>
        </is>
      </c>
      <c r="D163" s="70" t="inlineStr">
        <is>
          <t>Rare Diseases</t>
        </is>
      </c>
      <c r="E163" s="70" t="inlineStr">
        <is>
          <t>BU Rare Diseases</t>
        </is>
      </c>
      <c r="F163" s="71" t="inlineStr">
        <is>
          <t>Speaker Fees</t>
        </is>
      </c>
      <c r="G163" s="71" t="inlineStr">
        <is>
          <t>Dec-2025</t>
        </is>
      </c>
      <c r="H163" s="71" t="inlineStr">
        <is>
          <t>Q4 2025</t>
        </is>
      </c>
      <c r="I163" s="73" t="n">
        <v>16931.99</v>
      </c>
      <c r="J163" s="73" t="n">
        <v>16268.8</v>
      </c>
      <c r="K163" s="73" t="n">
        <v>12792.76</v>
      </c>
      <c r="L163" s="80" t="n">
        <v>663.1900000000001</v>
      </c>
      <c r="M163" s="78" t="n">
        <v>0.0392</v>
      </c>
      <c r="N163" s="107" t="n">
        <v>0.9608321290055095</v>
      </c>
      <c r="O163" s="108" t="inlineStr">
        <is>
          <t>Under</t>
        </is>
      </c>
      <c r="P163" s="69" t="inlineStr">
        <is>
          <t>On Track</t>
        </is>
      </c>
    </row>
    <row r="164" ht="16" customHeight="1">
      <c r="A164" s="98" t="inlineStr">
        <is>
          <t>CC-00163</t>
        </is>
      </c>
      <c r="B164" s="99" t="inlineStr">
        <is>
          <t>EVT-2025-015</t>
        </is>
      </c>
      <c r="C164" s="100" t="inlineStr">
        <is>
          <t>Orphavex Congress Paris Dec 2025</t>
        </is>
      </c>
      <c r="D164" s="100" t="inlineStr">
        <is>
          <t>Rare Diseases</t>
        </is>
      </c>
      <c r="E164" s="100" t="inlineStr">
        <is>
          <t>BU Rare Diseases</t>
        </is>
      </c>
      <c r="F164" s="99" t="inlineStr">
        <is>
          <t>Translation</t>
        </is>
      </c>
      <c r="G164" s="99" t="inlineStr">
        <is>
          <t>Dec-2025</t>
        </is>
      </c>
      <c r="H164" s="99" t="inlineStr">
        <is>
          <t>Q4 2025</t>
        </is>
      </c>
      <c r="I164" s="101" t="n">
        <v>5079.6</v>
      </c>
      <c r="J164" s="101" t="n">
        <v>4504.28</v>
      </c>
      <c r="K164" s="101" t="n">
        <v>3887</v>
      </c>
      <c r="L164" s="102" t="n">
        <v>575.3200000000001</v>
      </c>
      <c r="M164" s="103" t="n">
        <v>0.1133</v>
      </c>
      <c r="N164" s="104" t="n">
        <v>0.8867391133160091</v>
      </c>
      <c r="O164" s="105" t="inlineStr">
        <is>
          <t>Under</t>
        </is>
      </c>
      <c r="P164" s="69" t="inlineStr">
        <is>
          <t>On Track</t>
        </is>
      </c>
    </row>
    <row r="165" ht="16" customHeight="1">
      <c r="A165" s="106" t="inlineStr">
        <is>
          <t>CC-00164</t>
        </is>
      </c>
      <c r="B165" s="71" t="inlineStr">
        <is>
          <t>EVT-2025-015</t>
        </is>
      </c>
      <c r="C165" s="70" t="inlineStr">
        <is>
          <t>Orphavex Congress Paris Dec 2025</t>
        </is>
      </c>
      <c r="D165" s="70" t="inlineStr">
        <is>
          <t>Rare Diseases</t>
        </is>
      </c>
      <c r="E165" s="70" t="inlineStr">
        <is>
          <t>BU Rare Diseases</t>
        </is>
      </c>
      <c r="F165" s="71" t="inlineStr">
        <is>
          <t>Print &amp; Production</t>
        </is>
      </c>
      <c r="G165" s="71" t="inlineStr">
        <is>
          <t>Dec-2025</t>
        </is>
      </c>
      <c r="H165" s="71" t="inlineStr">
        <is>
          <t>Q4 2025</t>
        </is>
      </c>
      <c r="I165" s="73" t="n">
        <v>3386.4</v>
      </c>
      <c r="J165" s="73" t="n">
        <v>3548.54</v>
      </c>
      <c r="K165" s="73" t="n">
        <v>2903.98</v>
      </c>
      <c r="L165" s="74" t="n">
        <v>-162.14</v>
      </c>
      <c r="M165" s="78" t="n">
        <v>-0.0479</v>
      </c>
      <c r="N165" s="107" t="n">
        <v>1.047879754311363</v>
      </c>
      <c r="O165" s="112" t="inlineStr">
        <is>
          <t>Over</t>
        </is>
      </c>
      <c r="P165" s="69" t="inlineStr">
        <is>
          <t>On Track</t>
        </is>
      </c>
    </row>
    <row r="166" ht="16" customHeight="1">
      <c r="A166" s="98" t="inlineStr">
        <is>
          <t>CC-00165</t>
        </is>
      </c>
      <c r="B166" s="99" t="inlineStr">
        <is>
          <t>EVT-2025-015</t>
        </is>
      </c>
      <c r="C166" s="100" t="inlineStr">
        <is>
          <t>Orphavex Congress Paris Dec 2025</t>
        </is>
      </c>
      <c r="D166" s="100" t="inlineStr">
        <is>
          <t>Rare Diseases</t>
        </is>
      </c>
      <c r="E166" s="100" t="inlineStr">
        <is>
          <t>BU Rare Diseases</t>
        </is>
      </c>
      <c r="F166" s="99" t="inlineStr">
        <is>
          <t>Miscellaneous</t>
        </is>
      </c>
      <c r="G166" s="99" t="inlineStr">
        <is>
          <t>Dec-2025</t>
        </is>
      </c>
      <c r="H166" s="99" t="inlineStr">
        <is>
          <t>Q4 2025</t>
        </is>
      </c>
      <c r="I166" s="101" t="n">
        <v>3386.4</v>
      </c>
      <c r="J166" s="101" t="n">
        <v>2616.22</v>
      </c>
      <c r="K166" s="101" t="n">
        <v>2438.11</v>
      </c>
      <c r="L166" s="102" t="n">
        <v>770.1799999999999</v>
      </c>
      <c r="M166" s="103" t="n">
        <v>0.2274</v>
      </c>
      <c r="N166" s="104" t="n">
        <v>0.7725667375383888</v>
      </c>
      <c r="O166" s="105" t="inlineStr">
        <is>
          <t>Under</t>
        </is>
      </c>
      <c r="P166" s="69" t="inlineStr">
        <is>
          <t>On Track</t>
        </is>
      </c>
    </row>
    <row r="167" ht="16" customHeight="1">
      <c r="A167" s="106" t="inlineStr">
        <is>
          <t>CC-00166</t>
        </is>
      </c>
      <c r="B167" s="71" t="inlineStr">
        <is>
          <t>EVT-2025-016</t>
        </is>
      </c>
      <c r="C167" s="70" t="inlineStr">
        <is>
          <t>Genetrix Speaker Program Warsaw Jan 2025</t>
        </is>
      </c>
      <c r="D167" s="70" t="inlineStr">
        <is>
          <t>Rare Diseases</t>
        </is>
      </c>
      <c r="E167" s="70" t="inlineStr">
        <is>
          <t>BU Rare Diseases</t>
        </is>
      </c>
      <c r="F167" s="71" t="inlineStr">
        <is>
          <t>Airfare</t>
        </is>
      </c>
      <c r="G167" s="71" t="inlineStr">
        <is>
          <t>Jan-2025</t>
        </is>
      </c>
      <c r="H167" s="71" t="inlineStr">
        <is>
          <t>Q1 2025</t>
        </is>
      </c>
      <c r="I167" s="73" t="n">
        <v>29799.37</v>
      </c>
      <c r="J167" s="73" t="n">
        <v>20062.07</v>
      </c>
      <c r="K167" s="73" t="n">
        <v>14296.63</v>
      </c>
      <c r="L167" s="80" t="n">
        <v>9737.299999999999</v>
      </c>
      <c r="M167" s="78" t="n">
        <v>0.3268</v>
      </c>
      <c r="N167" s="107" t="n">
        <v>0.6732380583884827</v>
      </c>
      <c r="O167" s="108" t="inlineStr">
        <is>
          <t>Under</t>
        </is>
      </c>
      <c r="P167" s="69" t="inlineStr">
        <is>
          <t>On Track</t>
        </is>
      </c>
    </row>
    <row r="168" ht="16" customHeight="1">
      <c r="A168" s="98" t="inlineStr">
        <is>
          <t>CC-00167</t>
        </is>
      </c>
      <c r="B168" s="99" t="inlineStr">
        <is>
          <t>EVT-2025-016</t>
        </is>
      </c>
      <c r="C168" s="100" t="inlineStr">
        <is>
          <t>Genetrix Speaker Program Warsaw Jan 2025</t>
        </is>
      </c>
      <c r="D168" s="100" t="inlineStr">
        <is>
          <t>Rare Diseases</t>
        </is>
      </c>
      <c r="E168" s="100" t="inlineStr">
        <is>
          <t>BU Rare Diseases</t>
        </is>
      </c>
      <c r="F168" s="99" t="inlineStr">
        <is>
          <t>Hotel</t>
        </is>
      </c>
      <c r="G168" s="99" t="inlineStr">
        <is>
          <t>Jan-2025</t>
        </is>
      </c>
      <c r="H168" s="99" t="inlineStr">
        <is>
          <t>Q1 2025</t>
        </is>
      </c>
      <c r="I168" s="101" t="n">
        <v>53638.87</v>
      </c>
      <c r="J168" s="101" t="n">
        <v>57804.3</v>
      </c>
      <c r="K168" s="101" t="n">
        <v>41833.48</v>
      </c>
      <c r="L168" s="109" t="n">
        <v>-4165.43</v>
      </c>
      <c r="M168" s="110" t="n">
        <v>-0.07770000000000001</v>
      </c>
      <c r="N168" s="104" t="n">
        <v>1.077656930505807</v>
      </c>
      <c r="O168" s="111" t="inlineStr">
        <is>
          <t>Over</t>
        </is>
      </c>
      <c r="P168" s="76" t="inlineStr">
        <is>
          <t>Watch</t>
        </is>
      </c>
    </row>
    <row r="169" ht="16" customHeight="1">
      <c r="A169" s="106" t="inlineStr">
        <is>
          <t>CC-00168</t>
        </is>
      </c>
      <c r="B169" s="71" t="inlineStr">
        <is>
          <t>EVT-2025-016</t>
        </is>
      </c>
      <c r="C169" s="70" t="inlineStr">
        <is>
          <t>Genetrix Speaker Program Warsaw Jan 2025</t>
        </is>
      </c>
      <c r="D169" s="70" t="inlineStr">
        <is>
          <t>Rare Diseases</t>
        </is>
      </c>
      <c r="E169" s="70" t="inlineStr">
        <is>
          <t>BU Rare Diseases</t>
        </is>
      </c>
      <c r="F169" s="71" t="inlineStr">
        <is>
          <t>Venue</t>
        </is>
      </c>
      <c r="G169" s="71" t="inlineStr">
        <is>
          <t>Jan-2025</t>
        </is>
      </c>
      <c r="H169" s="71" t="inlineStr">
        <is>
          <t>Q1 2025</t>
        </is>
      </c>
      <c r="I169" s="73" t="n">
        <v>44699.06</v>
      </c>
      <c r="J169" s="73" t="n">
        <v>47470.62</v>
      </c>
      <c r="K169" s="73" t="n">
        <v>42571.25</v>
      </c>
      <c r="L169" s="74" t="n">
        <v>-2771.56</v>
      </c>
      <c r="M169" s="75" t="n">
        <v>-0.062</v>
      </c>
      <c r="N169" s="107" t="n">
        <v>1.062004883324168</v>
      </c>
      <c r="O169" s="112" t="inlineStr">
        <is>
          <t>Over</t>
        </is>
      </c>
      <c r="P169" s="76" t="inlineStr">
        <is>
          <t>Watch</t>
        </is>
      </c>
    </row>
    <row r="170" ht="16" customHeight="1">
      <c r="A170" s="98" t="inlineStr">
        <is>
          <t>CC-00169</t>
        </is>
      </c>
      <c r="B170" s="99" t="inlineStr">
        <is>
          <t>EVT-2025-016</t>
        </is>
      </c>
      <c r="C170" s="100" t="inlineStr">
        <is>
          <t>Genetrix Speaker Program Warsaw Jan 2025</t>
        </is>
      </c>
      <c r="D170" s="100" t="inlineStr">
        <is>
          <t>Rare Diseases</t>
        </is>
      </c>
      <c r="E170" s="100" t="inlineStr">
        <is>
          <t>BU Rare Diseases</t>
        </is>
      </c>
      <c r="F170" s="99" t="inlineStr">
        <is>
          <t>F&amp;B</t>
        </is>
      </c>
      <c r="G170" s="99" t="inlineStr">
        <is>
          <t>Jan-2025</t>
        </is>
      </c>
      <c r="H170" s="99" t="inlineStr">
        <is>
          <t>Q1 2025</t>
        </is>
      </c>
      <c r="I170" s="101" t="n">
        <v>35759.24</v>
      </c>
      <c r="J170" s="101" t="n">
        <v>34817.67</v>
      </c>
      <c r="K170" s="101" t="n">
        <v>26607.53</v>
      </c>
      <c r="L170" s="102" t="n">
        <v>941.5700000000001</v>
      </c>
      <c r="M170" s="103" t="n">
        <v>0.0263</v>
      </c>
      <c r="N170" s="104" t="n">
        <v>0.9736691831258159</v>
      </c>
      <c r="O170" s="105" t="inlineStr">
        <is>
          <t>Under</t>
        </is>
      </c>
      <c r="P170" s="69" t="inlineStr">
        <is>
          <t>On Track</t>
        </is>
      </c>
    </row>
    <row r="171" ht="16" customHeight="1">
      <c r="A171" s="106" t="inlineStr">
        <is>
          <t>CC-00170</t>
        </is>
      </c>
      <c r="B171" s="71" t="inlineStr">
        <is>
          <t>EVT-2025-016</t>
        </is>
      </c>
      <c r="C171" s="70" t="inlineStr">
        <is>
          <t>Genetrix Speaker Program Warsaw Jan 2025</t>
        </is>
      </c>
      <c r="D171" s="70" t="inlineStr">
        <is>
          <t>Rare Diseases</t>
        </is>
      </c>
      <c r="E171" s="70" t="inlineStr">
        <is>
          <t>BU Rare Diseases</t>
        </is>
      </c>
      <c r="F171" s="71" t="inlineStr">
        <is>
          <t>Logistics</t>
        </is>
      </c>
      <c r="G171" s="71" t="inlineStr">
        <is>
          <t>Jan-2025</t>
        </is>
      </c>
      <c r="H171" s="71" t="inlineStr">
        <is>
          <t>Q1 2025</t>
        </is>
      </c>
      <c r="I171" s="73" t="n">
        <v>17879.62</v>
      </c>
      <c r="J171" s="73" t="n">
        <v>18129.5</v>
      </c>
      <c r="K171" s="73" t="n">
        <v>14165.3</v>
      </c>
      <c r="L171" s="74" t="n">
        <v>-249.88</v>
      </c>
      <c r="M171" s="78" t="n">
        <v>-0.014</v>
      </c>
      <c r="N171" s="107" t="n">
        <v>1.013975688521344</v>
      </c>
      <c r="O171" s="112" t="inlineStr">
        <is>
          <t>Over</t>
        </is>
      </c>
      <c r="P171" s="69" t="inlineStr">
        <is>
          <t>On Track</t>
        </is>
      </c>
    </row>
    <row r="172" ht="16" customHeight="1">
      <c r="A172" s="98" t="inlineStr">
        <is>
          <t>CC-00171</t>
        </is>
      </c>
      <c r="B172" s="99" t="inlineStr">
        <is>
          <t>EVT-2025-016</t>
        </is>
      </c>
      <c r="C172" s="100" t="inlineStr">
        <is>
          <t>Genetrix Speaker Program Warsaw Jan 2025</t>
        </is>
      </c>
      <c r="D172" s="100" t="inlineStr">
        <is>
          <t>Rare Diseases</t>
        </is>
      </c>
      <c r="E172" s="100" t="inlineStr">
        <is>
          <t>BU Rare Diseases</t>
        </is>
      </c>
      <c r="F172" s="99" t="inlineStr">
        <is>
          <t>AV &amp; Technology</t>
        </is>
      </c>
      <c r="G172" s="99" t="inlineStr">
        <is>
          <t>Jan-2025</t>
        </is>
      </c>
      <c r="H172" s="99" t="inlineStr">
        <is>
          <t>Q1 2025</t>
        </is>
      </c>
      <c r="I172" s="101" t="n">
        <v>23839.5</v>
      </c>
      <c r="J172" s="101" t="n">
        <v>21002.81</v>
      </c>
      <c r="K172" s="101" t="n">
        <v>16413.41</v>
      </c>
      <c r="L172" s="102" t="n">
        <v>2836.69</v>
      </c>
      <c r="M172" s="103" t="n">
        <v>0.119</v>
      </c>
      <c r="N172" s="104" t="n">
        <v>0.8810088298831771</v>
      </c>
      <c r="O172" s="105" t="inlineStr">
        <is>
          <t>Under</t>
        </is>
      </c>
      <c r="P172" s="69" t="inlineStr">
        <is>
          <t>On Track</t>
        </is>
      </c>
    </row>
    <row r="173" ht="16" customHeight="1">
      <c r="A173" s="106" t="inlineStr">
        <is>
          <t>CC-00172</t>
        </is>
      </c>
      <c r="B173" s="71" t="inlineStr">
        <is>
          <t>EVT-2025-016</t>
        </is>
      </c>
      <c r="C173" s="70" t="inlineStr">
        <is>
          <t>Genetrix Speaker Program Warsaw Jan 2025</t>
        </is>
      </c>
      <c r="D173" s="70" t="inlineStr">
        <is>
          <t>Rare Diseases</t>
        </is>
      </c>
      <c r="E173" s="70" t="inlineStr">
        <is>
          <t>BU Rare Diseases</t>
        </is>
      </c>
      <c r="F173" s="71" t="inlineStr">
        <is>
          <t>Agency Fees</t>
        </is>
      </c>
      <c r="G173" s="71" t="inlineStr">
        <is>
          <t>Jan-2025</t>
        </is>
      </c>
      <c r="H173" s="71" t="inlineStr">
        <is>
          <t>Q1 2025</t>
        </is>
      </c>
      <c r="I173" s="73" t="n">
        <v>41719.12</v>
      </c>
      <c r="J173" s="73" t="n">
        <v>27309.89</v>
      </c>
      <c r="K173" s="73" t="n">
        <v>25187.02</v>
      </c>
      <c r="L173" s="80" t="n">
        <v>14409.23</v>
      </c>
      <c r="M173" s="78" t="n">
        <v>0.3454</v>
      </c>
      <c r="N173" s="107" t="n">
        <v>0.6546132804335277</v>
      </c>
      <c r="O173" s="108" t="inlineStr">
        <is>
          <t>Under</t>
        </is>
      </c>
      <c r="P173" s="69" t="inlineStr">
        <is>
          <t>On Track</t>
        </is>
      </c>
    </row>
    <row r="174" ht="16" customHeight="1">
      <c r="A174" s="98" t="inlineStr">
        <is>
          <t>CC-00173</t>
        </is>
      </c>
      <c r="B174" s="99" t="inlineStr">
        <is>
          <t>EVT-2025-016</t>
        </is>
      </c>
      <c r="C174" s="100" t="inlineStr">
        <is>
          <t>Genetrix Speaker Program Warsaw Jan 2025</t>
        </is>
      </c>
      <c r="D174" s="100" t="inlineStr">
        <is>
          <t>Rare Diseases</t>
        </is>
      </c>
      <c r="E174" s="100" t="inlineStr">
        <is>
          <t>BU Rare Diseases</t>
        </is>
      </c>
      <c r="F174" s="99" t="inlineStr">
        <is>
          <t>Speaker Fees</t>
        </is>
      </c>
      <c r="G174" s="99" t="inlineStr">
        <is>
          <t>Jan-2025</t>
        </is>
      </c>
      <c r="H174" s="99" t="inlineStr">
        <is>
          <t>Q1 2025</t>
        </is>
      </c>
      <c r="I174" s="101" t="n">
        <v>29799.37</v>
      </c>
      <c r="J174" s="101" t="n">
        <v>21444.85</v>
      </c>
      <c r="K174" s="101" t="n">
        <v>15337.99</v>
      </c>
      <c r="L174" s="102" t="n">
        <v>8354.52</v>
      </c>
      <c r="M174" s="103" t="n">
        <v>0.2804</v>
      </c>
      <c r="N174" s="104" t="n">
        <v>0.7196410528142038</v>
      </c>
      <c r="O174" s="105" t="inlineStr">
        <is>
          <t>Under</t>
        </is>
      </c>
      <c r="P174" s="69" t="inlineStr">
        <is>
          <t>On Track</t>
        </is>
      </c>
    </row>
    <row r="175" ht="16" customHeight="1">
      <c r="A175" s="106" t="inlineStr">
        <is>
          <t>CC-00174</t>
        </is>
      </c>
      <c r="B175" s="71" t="inlineStr">
        <is>
          <t>EVT-2025-016</t>
        </is>
      </c>
      <c r="C175" s="70" t="inlineStr">
        <is>
          <t>Genetrix Speaker Program Warsaw Jan 2025</t>
        </is>
      </c>
      <c r="D175" s="70" t="inlineStr">
        <is>
          <t>Rare Diseases</t>
        </is>
      </c>
      <c r="E175" s="70" t="inlineStr">
        <is>
          <t>BU Rare Diseases</t>
        </is>
      </c>
      <c r="F175" s="71" t="inlineStr">
        <is>
          <t>Translation</t>
        </is>
      </c>
      <c r="G175" s="71" t="inlineStr">
        <is>
          <t>Jan-2025</t>
        </is>
      </c>
      <c r="H175" s="71" t="inlineStr">
        <is>
          <t>Q1 2025</t>
        </is>
      </c>
      <c r="I175" s="73" t="n">
        <v>8939.809999999999</v>
      </c>
      <c r="J175" s="73" t="n">
        <v>9409.969999999999</v>
      </c>
      <c r="K175" s="73" t="n">
        <v>7224.05</v>
      </c>
      <c r="L175" s="74" t="n">
        <v>-470.16</v>
      </c>
      <c r="M175" s="75" t="n">
        <v>-0.0526</v>
      </c>
      <c r="N175" s="107" t="n">
        <v>1.052591721748001</v>
      </c>
      <c r="O175" s="112" t="inlineStr">
        <is>
          <t>Over</t>
        </is>
      </c>
      <c r="P175" s="76" t="inlineStr">
        <is>
          <t>Watch</t>
        </is>
      </c>
    </row>
    <row r="176" ht="16" customHeight="1">
      <c r="A176" s="98" t="inlineStr">
        <is>
          <t>CC-00175</t>
        </is>
      </c>
      <c r="B176" s="99" t="inlineStr">
        <is>
          <t>EVT-2025-016</t>
        </is>
      </c>
      <c r="C176" s="100" t="inlineStr">
        <is>
          <t>Genetrix Speaker Program Warsaw Jan 2025</t>
        </is>
      </c>
      <c r="D176" s="100" t="inlineStr">
        <is>
          <t>Rare Diseases</t>
        </is>
      </c>
      <c r="E176" s="100" t="inlineStr">
        <is>
          <t>BU Rare Diseases</t>
        </is>
      </c>
      <c r="F176" s="99" t="inlineStr">
        <is>
          <t>Print &amp; Production</t>
        </is>
      </c>
      <c r="G176" s="99" t="inlineStr">
        <is>
          <t>Jan-2025</t>
        </is>
      </c>
      <c r="H176" s="99" t="inlineStr">
        <is>
          <t>Q1 2025</t>
        </is>
      </c>
      <c r="I176" s="101" t="n">
        <v>5959.87</v>
      </c>
      <c r="J176" s="101" t="n">
        <v>4269.76</v>
      </c>
      <c r="K176" s="101" t="n">
        <v>3117.18</v>
      </c>
      <c r="L176" s="102" t="n">
        <v>1690.11</v>
      </c>
      <c r="M176" s="103" t="n">
        <v>0.2836</v>
      </c>
      <c r="N176" s="104" t="n">
        <v>0.7164183111376591</v>
      </c>
      <c r="O176" s="105" t="inlineStr">
        <is>
          <t>Under</t>
        </is>
      </c>
      <c r="P176" s="69" t="inlineStr">
        <is>
          <t>On Track</t>
        </is>
      </c>
    </row>
    <row r="177" ht="16" customHeight="1">
      <c r="A177" s="106" t="inlineStr">
        <is>
          <t>CC-00176</t>
        </is>
      </c>
      <c r="B177" s="71" t="inlineStr">
        <is>
          <t>EVT-2025-016</t>
        </is>
      </c>
      <c r="C177" s="70" t="inlineStr">
        <is>
          <t>Genetrix Speaker Program Warsaw Jan 2025</t>
        </is>
      </c>
      <c r="D177" s="70" t="inlineStr">
        <is>
          <t>Rare Diseases</t>
        </is>
      </c>
      <c r="E177" s="70" t="inlineStr">
        <is>
          <t>BU Rare Diseases</t>
        </is>
      </c>
      <c r="F177" s="71" t="inlineStr">
        <is>
          <t>Miscellaneous</t>
        </is>
      </c>
      <c r="G177" s="71" t="inlineStr">
        <is>
          <t>Jan-2025</t>
        </is>
      </c>
      <c r="H177" s="71" t="inlineStr">
        <is>
          <t>Q1 2025</t>
        </is>
      </c>
      <c r="I177" s="73" t="n">
        <v>5959.87</v>
      </c>
      <c r="J177" s="73" t="n">
        <v>4560.18</v>
      </c>
      <c r="K177" s="73" t="n">
        <v>3838.4</v>
      </c>
      <c r="L177" s="80" t="n">
        <v>1399.69</v>
      </c>
      <c r="M177" s="78" t="n">
        <v>0.2349</v>
      </c>
      <c r="N177" s="107" t="n">
        <v>0.7651475619434652</v>
      </c>
      <c r="O177" s="108" t="inlineStr">
        <is>
          <t>Under</t>
        </is>
      </c>
      <c r="P177" s="69" t="inlineStr">
        <is>
          <t>On Track</t>
        </is>
      </c>
    </row>
    <row r="178" ht="16" customHeight="1">
      <c r="A178" s="98" t="inlineStr">
        <is>
          <t>CC-00177</t>
        </is>
      </c>
      <c r="B178" s="99" t="inlineStr">
        <is>
          <t>EVT-2025-017</t>
        </is>
      </c>
      <c r="C178" s="100" t="inlineStr">
        <is>
          <t>Eplitazan Internal Meeting Budapest Nov 2025</t>
        </is>
      </c>
      <c r="D178" s="100" t="inlineStr">
        <is>
          <t>Cardiology</t>
        </is>
      </c>
      <c r="E178" s="100" t="inlineStr">
        <is>
          <t>BU Cardiovascular</t>
        </is>
      </c>
      <c r="F178" s="99" t="inlineStr">
        <is>
          <t>Airfare</t>
        </is>
      </c>
      <c r="G178" s="99" t="inlineStr">
        <is>
          <t>Nov-2025</t>
        </is>
      </c>
      <c r="H178" s="99" t="inlineStr">
        <is>
          <t>Q4 2025</t>
        </is>
      </c>
      <c r="I178" s="101" t="n">
        <v>25855.63</v>
      </c>
      <c r="J178" s="101" t="n">
        <v>24319.7</v>
      </c>
      <c r="K178" s="101" t="n">
        <v>0</v>
      </c>
      <c r="L178" s="102" t="n">
        <v>1535.93</v>
      </c>
      <c r="M178" s="103" t="n">
        <v>0.0594</v>
      </c>
      <c r="N178" s="104" t="n">
        <v>0.9405959166340174</v>
      </c>
      <c r="O178" s="105" t="inlineStr">
        <is>
          <t>Under</t>
        </is>
      </c>
      <c r="P178" s="69" t="inlineStr">
        <is>
          <t>On Track</t>
        </is>
      </c>
    </row>
    <row r="179" ht="16" customHeight="1">
      <c r="A179" s="106" t="inlineStr">
        <is>
          <t>CC-00178</t>
        </is>
      </c>
      <c r="B179" s="71" t="inlineStr">
        <is>
          <t>EVT-2025-017</t>
        </is>
      </c>
      <c r="C179" s="70" t="inlineStr">
        <is>
          <t>Eplitazan Internal Meeting Budapest Nov 2025</t>
        </is>
      </c>
      <c r="D179" s="70" t="inlineStr">
        <is>
          <t>Cardiology</t>
        </is>
      </c>
      <c r="E179" s="70" t="inlineStr">
        <is>
          <t>BU Cardiovascular</t>
        </is>
      </c>
      <c r="F179" s="71" t="inlineStr">
        <is>
          <t>Hotel</t>
        </is>
      </c>
      <c r="G179" s="71" t="inlineStr">
        <is>
          <t>Nov-2025</t>
        </is>
      </c>
      <c r="H179" s="71" t="inlineStr">
        <is>
          <t>Q4 2025</t>
        </is>
      </c>
      <c r="I179" s="73" t="n">
        <v>46540.13</v>
      </c>
      <c r="J179" s="73" t="n">
        <v>31122.94</v>
      </c>
      <c r="K179" s="73" t="n">
        <v>0</v>
      </c>
      <c r="L179" s="80" t="n">
        <v>15417.19</v>
      </c>
      <c r="M179" s="78" t="n">
        <v>0.3313</v>
      </c>
      <c r="N179" s="107" t="n">
        <v>0.6687334135078694</v>
      </c>
      <c r="O179" s="108" t="inlineStr">
        <is>
          <t>Under</t>
        </is>
      </c>
      <c r="P179" s="69" t="inlineStr">
        <is>
          <t>On Track</t>
        </is>
      </c>
    </row>
    <row r="180" ht="16" customHeight="1">
      <c r="A180" s="98" t="inlineStr">
        <is>
          <t>CC-00179</t>
        </is>
      </c>
      <c r="B180" s="99" t="inlineStr">
        <is>
          <t>EVT-2025-017</t>
        </is>
      </c>
      <c r="C180" s="100" t="inlineStr">
        <is>
          <t>Eplitazan Internal Meeting Budapest Nov 2025</t>
        </is>
      </c>
      <c r="D180" s="100" t="inlineStr">
        <is>
          <t>Cardiology</t>
        </is>
      </c>
      <c r="E180" s="100" t="inlineStr">
        <is>
          <t>BU Cardiovascular</t>
        </is>
      </c>
      <c r="F180" s="99" t="inlineStr">
        <is>
          <t>Venue</t>
        </is>
      </c>
      <c r="G180" s="99" t="inlineStr">
        <is>
          <t>Nov-2025</t>
        </is>
      </c>
      <c r="H180" s="99" t="inlineStr">
        <is>
          <t>Q4 2025</t>
        </is>
      </c>
      <c r="I180" s="101" t="n">
        <v>38783.44</v>
      </c>
      <c r="J180" s="101" t="n">
        <v>41973.74</v>
      </c>
      <c r="K180" s="101" t="n">
        <v>0</v>
      </c>
      <c r="L180" s="109" t="n">
        <v>-3190.3</v>
      </c>
      <c r="M180" s="110" t="n">
        <v>-0.0823</v>
      </c>
      <c r="N180" s="104" t="n">
        <v>1.082259335427698</v>
      </c>
      <c r="O180" s="111" t="inlineStr">
        <is>
          <t>Over</t>
        </is>
      </c>
      <c r="P180" s="76" t="inlineStr">
        <is>
          <t>Watch</t>
        </is>
      </c>
    </row>
    <row r="181" ht="16" customHeight="1">
      <c r="A181" s="106" t="inlineStr">
        <is>
          <t>CC-00180</t>
        </is>
      </c>
      <c r="B181" s="71" t="inlineStr">
        <is>
          <t>EVT-2025-017</t>
        </is>
      </c>
      <c r="C181" s="70" t="inlineStr">
        <is>
          <t>Eplitazan Internal Meeting Budapest Nov 2025</t>
        </is>
      </c>
      <c r="D181" s="70" t="inlineStr">
        <is>
          <t>Cardiology</t>
        </is>
      </c>
      <c r="E181" s="70" t="inlineStr">
        <is>
          <t>BU Cardiovascular</t>
        </is>
      </c>
      <c r="F181" s="71" t="inlineStr">
        <is>
          <t>F&amp;B</t>
        </is>
      </c>
      <c r="G181" s="71" t="inlineStr">
        <is>
          <t>Nov-2025</t>
        </is>
      </c>
      <c r="H181" s="71" t="inlineStr">
        <is>
          <t>Q4 2025</t>
        </is>
      </c>
      <c r="I181" s="73" t="n">
        <v>31026.75</v>
      </c>
      <c r="J181" s="73" t="n">
        <v>33786.75</v>
      </c>
      <c r="K181" s="73" t="n">
        <v>0</v>
      </c>
      <c r="L181" s="74" t="n">
        <v>-2760</v>
      </c>
      <c r="M181" s="75" t="n">
        <v>-0.089</v>
      </c>
      <c r="N181" s="107" t="n">
        <v>1.088955498078271</v>
      </c>
      <c r="O181" s="112" t="inlineStr">
        <is>
          <t>Over</t>
        </is>
      </c>
      <c r="P181" s="76" t="inlineStr">
        <is>
          <t>Watch</t>
        </is>
      </c>
    </row>
    <row r="182" ht="16" customHeight="1">
      <c r="A182" s="98" t="inlineStr">
        <is>
          <t>CC-00181</t>
        </is>
      </c>
      <c r="B182" s="99" t="inlineStr">
        <is>
          <t>EVT-2025-017</t>
        </is>
      </c>
      <c r="C182" s="100" t="inlineStr">
        <is>
          <t>Eplitazan Internal Meeting Budapest Nov 2025</t>
        </is>
      </c>
      <c r="D182" s="100" t="inlineStr">
        <is>
          <t>Cardiology</t>
        </is>
      </c>
      <c r="E182" s="100" t="inlineStr">
        <is>
          <t>BU Cardiovascular</t>
        </is>
      </c>
      <c r="F182" s="99" t="inlineStr">
        <is>
          <t>Logistics</t>
        </is>
      </c>
      <c r="G182" s="99" t="inlineStr">
        <is>
          <t>Nov-2025</t>
        </is>
      </c>
      <c r="H182" s="99" t="inlineStr">
        <is>
          <t>Q4 2025</t>
        </is>
      </c>
      <c r="I182" s="101" t="n">
        <v>15513.38</v>
      </c>
      <c r="J182" s="101" t="n">
        <v>10533.13</v>
      </c>
      <c r="K182" s="101" t="n">
        <v>0</v>
      </c>
      <c r="L182" s="102" t="n">
        <v>4980.25</v>
      </c>
      <c r="M182" s="103" t="n">
        <v>0.321</v>
      </c>
      <c r="N182" s="104" t="n">
        <v>0.6789706691900798</v>
      </c>
      <c r="O182" s="105" t="inlineStr">
        <is>
          <t>Under</t>
        </is>
      </c>
      <c r="P182" s="69" t="inlineStr">
        <is>
          <t>On Track</t>
        </is>
      </c>
    </row>
    <row r="183" ht="16" customHeight="1">
      <c r="A183" s="106" t="inlineStr">
        <is>
          <t>CC-00182</t>
        </is>
      </c>
      <c r="B183" s="71" t="inlineStr">
        <is>
          <t>EVT-2025-017</t>
        </is>
      </c>
      <c r="C183" s="70" t="inlineStr">
        <is>
          <t>Eplitazan Internal Meeting Budapest Nov 2025</t>
        </is>
      </c>
      <c r="D183" s="70" t="inlineStr">
        <is>
          <t>Cardiology</t>
        </is>
      </c>
      <c r="E183" s="70" t="inlineStr">
        <is>
          <t>BU Cardiovascular</t>
        </is>
      </c>
      <c r="F183" s="71" t="inlineStr">
        <is>
          <t>AV &amp; Technology</t>
        </is>
      </c>
      <c r="G183" s="71" t="inlineStr">
        <is>
          <t>Nov-2025</t>
        </is>
      </c>
      <c r="H183" s="71" t="inlineStr">
        <is>
          <t>Q4 2025</t>
        </is>
      </c>
      <c r="I183" s="73" t="n">
        <v>20684.5</v>
      </c>
      <c r="J183" s="73" t="n">
        <v>19163.08</v>
      </c>
      <c r="K183" s="73" t="n">
        <v>0</v>
      </c>
      <c r="L183" s="80" t="n">
        <v>1521.42</v>
      </c>
      <c r="M183" s="78" t="n">
        <v>0.0736</v>
      </c>
      <c r="N183" s="107" t="n">
        <v>0.9264463728879113</v>
      </c>
      <c r="O183" s="108" t="inlineStr">
        <is>
          <t>Under</t>
        </is>
      </c>
      <c r="P183" s="69" t="inlineStr">
        <is>
          <t>On Track</t>
        </is>
      </c>
    </row>
    <row r="184" ht="16" customHeight="1">
      <c r="A184" s="98" t="inlineStr">
        <is>
          <t>CC-00183</t>
        </is>
      </c>
      <c r="B184" s="99" t="inlineStr">
        <is>
          <t>EVT-2025-017</t>
        </is>
      </c>
      <c r="C184" s="100" t="inlineStr">
        <is>
          <t>Eplitazan Internal Meeting Budapest Nov 2025</t>
        </is>
      </c>
      <c r="D184" s="100" t="inlineStr">
        <is>
          <t>Cardiology</t>
        </is>
      </c>
      <c r="E184" s="100" t="inlineStr">
        <is>
          <t>BU Cardiovascular</t>
        </is>
      </c>
      <c r="F184" s="99" t="inlineStr">
        <is>
          <t>Agency Fees</t>
        </is>
      </c>
      <c r="G184" s="99" t="inlineStr">
        <is>
          <t>Nov-2025</t>
        </is>
      </c>
      <c r="H184" s="99" t="inlineStr">
        <is>
          <t>Q4 2025</t>
        </is>
      </c>
      <c r="I184" s="101" t="n">
        <v>36197.88</v>
      </c>
      <c r="J184" s="101" t="n">
        <v>37657.51</v>
      </c>
      <c r="K184" s="101" t="n">
        <v>0</v>
      </c>
      <c r="L184" s="109" t="n">
        <v>-1459.63</v>
      </c>
      <c r="M184" s="103" t="n">
        <v>-0.0403</v>
      </c>
      <c r="N184" s="104" t="n">
        <v>1.040323632212715</v>
      </c>
      <c r="O184" s="111" t="inlineStr">
        <is>
          <t>Over</t>
        </is>
      </c>
      <c r="P184" s="69" t="inlineStr">
        <is>
          <t>On Track</t>
        </is>
      </c>
    </row>
    <row r="185" ht="16" customHeight="1">
      <c r="A185" s="106" t="inlineStr">
        <is>
          <t>CC-00184</t>
        </is>
      </c>
      <c r="B185" s="71" t="inlineStr">
        <is>
          <t>EVT-2025-017</t>
        </is>
      </c>
      <c r="C185" s="70" t="inlineStr">
        <is>
          <t>Eplitazan Internal Meeting Budapest Nov 2025</t>
        </is>
      </c>
      <c r="D185" s="70" t="inlineStr">
        <is>
          <t>Cardiology</t>
        </is>
      </c>
      <c r="E185" s="70" t="inlineStr">
        <is>
          <t>BU Cardiovascular</t>
        </is>
      </c>
      <c r="F185" s="71" t="inlineStr">
        <is>
          <t>Speaker Fees</t>
        </is>
      </c>
      <c r="G185" s="71" t="inlineStr">
        <is>
          <t>Nov-2025</t>
        </is>
      </c>
      <c r="H185" s="71" t="inlineStr">
        <is>
          <t>Q4 2025</t>
        </is>
      </c>
      <c r="I185" s="73" t="n">
        <v>25855.63</v>
      </c>
      <c r="J185" s="73" t="n">
        <v>21663.13</v>
      </c>
      <c r="K185" s="73" t="n">
        <v>0</v>
      </c>
      <c r="L185" s="80" t="n">
        <v>4192.5</v>
      </c>
      <c r="M185" s="78" t="n">
        <v>0.1622</v>
      </c>
      <c r="N185" s="107" t="n">
        <v>0.8378496288816014</v>
      </c>
      <c r="O185" s="108" t="inlineStr">
        <is>
          <t>Under</t>
        </is>
      </c>
      <c r="P185" s="69" t="inlineStr">
        <is>
          <t>On Track</t>
        </is>
      </c>
    </row>
    <row r="186" ht="16" customHeight="1">
      <c r="A186" s="98" t="inlineStr">
        <is>
          <t>CC-00185</t>
        </is>
      </c>
      <c r="B186" s="99" t="inlineStr">
        <is>
          <t>EVT-2025-017</t>
        </is>
      </c>
      <c r="C186" s="100" t="inlineStr">
        <is>
          <t>Eplitazan Internal Meeting Budapest Nov 2025</t>
        </is>
      </c>
      <c r="D186" s="100" t="inlineStr">
        <is>
          <t>Cardiology</t>
        </is>
      </c>
      <c r="E186" s="100" t="inlineStr">
        <is>
          <t>BU Cardiovascular</t>
        </is>
      </c>
      <c r="F186" s="99" t="inlineStr">
        <is>
          <t>Translation</t>
        </is>
      </c>
      <c r="G186" s="99" t="inlineStr">
        <is>
          <t>Nov-2025</t>
        </is>
      </c>
      <c r="H186" s="99" t="inlineStr">
        <is>
          <t>Q4 2025</t>
        </is>
      </c>
      <c r="I186" s="101" t="n">
        <v>7756.69</v>
      </c>
      <c r="J186" s="101" t="n">
        <v>7177.03</v>
      </c>
      <c r="K186" s="101" t="n">
        <v>0</v>
      </c>
      <c r="L186" s="102" t="n">
        <v>579.66</v>
      </c>
      <c r="M186" s="103" t="n">
        <v>0.0747</v>
      </c>
      <c r="N186" s="104" t="n">
        <v>0.925269670439324</v>
      </c>
      <c r="O186" s="105" t="inlineStr">
        <is>
          <t>Under</t>
        </is>
      </c>
      <c r="P186" s="69" t="inlineStr">
        <is>
          <t>On Track</t>
        </is>
      </c>
    </row>
    <row r="187" ht="16" customHeight="1">
      <c r="A187" s="106" t="inlineStr">
        <is>
          <t>CC-00186</t>
        </is>
      </c>
      <c r="B187" s="71" t="inlineStr">
        <is>
          <t>EVT-2025-017</t>
        </is>
      </c>
      <c r="C187" s="70" t="inlineStr">
        <is>
          <t>Eplitazan Internal Meeting Budapest Nov 2025</t>
        </is>
      </c>
      <c r="D187" s="70" t="inlineStr">
        <is>
          <t>Cardiology</t>
        </is>
      </c>
      <c r="E187" s="70" t="inlineStr">
        <is>
          <t>BU Cardiovascular</t>
        </is>
      </c>
      <c r="F187" s="71" t="inlineStr">
        <is>
          <t>Print &amp; Production</t>
        </is>
      </c>
      <c r="G187" s="71" t="inlineStr">
        <is>
          <t>Nov-2025</t>
        </is>
      </c>
      <c r="H187" s="71" t="inlineStr">
        <is>
          <t>Q4 2025</t>
        </is>
      </c>
      <c r="I187" s="73" t="n">
        <v>5171.13</v>
      </c>
      <c r="J187" s="73" t="n">
        <v>5057.14</v>
      </c>
      <c r="K187" s="73" t="n">
        <v>0</v>
      </c>
      <c r="L187" s="80" t="n">
        <v>113.99</v>
      </c>
      <c r="M187" s="78" t="n">
        <v>0.022</v>
      </c>
      <c r="N187" s="107" t="n">
        <v>0.9779564621272333</v>
      </c>
      <c r="O187" s="108" t="inlineStr">
        <is>
          <t>Under</t>
        </is>
      </c>
      <c r="P187" s="69" t="inlineStr">
        <is>
          <t>On Track</t>
        </is>
      </c>
    </row>
    <row r="188" ht="16" customHeight="1">
      <c r="A188" s="98" t="inlineStr">
        <is>
          <t>CC-00187</t>
        </is>
      </c>
      <c r="B188" s="99" t="inlineStr">
        <is>
          <t>EVT-2025-017</t>
        </is>
      </c>
      <c r="C188" s="100" t="inlineStr">
        <is>
          <t>Eplitazan Internal Meeting Budapest Nov 2025</t>
        </is>
      </c>
      <c r="D188" s="100" t="inlineStr">
        <is>
          <t>Cardiology</t>
        </is>
      </c>
      <c r="E188" s="100" t="inlineStr">
        <is>
          <t>BU Cardiovascular</t>
        </is>
      </c>
      <c r="F188" s="99" t="inlineStr">
        <is>
          <t>Miscellaneous</t>
        </is>
      </c>
      <c r="G188" s="99" t="inlineStr">
        <is>
          <t>Nov-2025</t>
        </is>
      </c>
      <c r="H188" s="99" t="inlineStr">
        <is>
          <t>Q4 2025</t>
        </is>
      </c>
      <c r="I188" s="101" t="n">
        <v>5171.13</v>
      </c>
      <c r="J188" s="101" t="n">
        <v>3845.37</v>
      </c>
      <c r="K188" s="101" t="n">
        <v>0</v>
      </c>
      <c r="L188" s="102" t="n">
        <v>1325.76</v>
      </c>
      <c r="M188" s="103" t="n">
        <v>0.2564</v>
      </c>
      <c r="N188" s="104" t="n">
        <v>0.7436227671708118</v>
      </c>
      <c r="O188" s="105" t="inlineStr">
        <is>
          <t>Under</t>
        </is>
      </c>
      <c r="P188" s="69" t="inlineStr">
        <is>
          <t>On Track</t>
        </is>
      </c>
    </row>
    <row r="189" ht="16" customHeight="1">
      <c r="A189" s="106" t="inlineStr">
        <is>
          <t>CC-00188</t>
        </is>
      </c>
      <c r="B189" s="71" t="inlineStr">
        <is>
          <t>EVT-2025-018</t>
        </is>
      </c>
      <c r="C189" s="70" t="inlineStr">
        <is>
          <t>Caprexosin Launch Event Prague Jan 2025</t>
        </is>
      </c>
      <c r="D189" s="70" t="inlineStr">
        <is>
          <t>Oncology</t>
        </is>
      </c>
      <c r="E189" s="70" t="inlineStr">
        <is>
          <t>BU Oncology</t>
        </is>
      </c>
      <c r="F189" s="71" t="inlineStr">
        <is>
          <t>Airfare</t>
        </is>
      </c>
      <c r="G189" s="71" t="inlineStr">
        <is>
          <t>Jan-2025</t>
        </is>
      </c>
      <c r="H189" s="71" t="inlineStr">
        <is>
          <t>Q1 2025</t>
        </is>
      </c>
      <c r="I189" s="73" t="n">
        <v>14328.77</v>
      </c>
      <c r="J189" s="73" t="n">
        <v>10642.09</v>
      </c>
      <c r="K189" s="73" t="n">
        <v>7638.35</v>
      </c>
      <c r="L189" s="80" t="n">
        <v>3686.68</v>
      </c>
      <c r="M189" s="78" t="n">
        <v>0.2573</v>
      </c>
      <c r="N189" s="107" t="n">
        <v>0.7427078528024387</v>
      </c>
      <c r="O189" s="108" t="inlineStr">
        <is>
          <t>Under</t>
        </is>
      </c>
      <c r="P189" s="69" t="inlineStr">
        <is>
          <t>On Track</t>
        </is>
      </c>
    </row>
    <row r="190" ht="16" customHeight="1">
      <c r="A190" s="98" t="inlineStr">
        <is>
          <t>CC-00189</t>
        </is>
      </c>
      <c r="B190" s="99" t="inlineStr">
        <is>
          <t>EVT-2025-018</t>
        </is>
      </c>
      <c r="C190" s="100" t="inlineStr">
        <is>
          <t>Caprexosin Launch Event Prague Jan 2025</t>
        </is>
      </c>
      <c r="D190" s="100" t="inlineStr">
        <is>
          <t>Oncology</t>
        </is>
      </c>
      <c r="E190" s="100" t="inlineStr">
        <is>
          <t>BU Oncology</t>
        </is>
      </c>
      <c r="F190" s="99" t="inlineStr">
        <is>
          <t>Hotel</t>
        </is>
      </c>
      <c r="G190" s="99" t="inlineStr">
        <is>
          <t>Jan-2025</t>
        </is>
      </c>
      <c r="H190" s="99" t="inlineStr">
        <is>
          <t>Q1 2025</t>
        </is>
      </c>
      <c r="I190" s="101" t="n">
        <v>25791.78</v>
      </c>
      <c r="J190" s="101" t="n">
        <v>25388.46</v>
      </c>
      <c r="K190" s="101" t="n">
        <v>22740.18</v>
      </c>
      <c r="L190" s="102" t="n">
        <v>403.32</v>
      </c>
      <c r="M190" s="103" t="n">
        <v>0.0156</v>
      </c>
      <c r="N190" s="104" t="n">
        <v>0.9843624596673825</v>
      </c>
      <c r="O190" s="105" t="inlineStr">
        <is>
          <t>Under</t>
        </is>
      </c>
      <c r="P190" s="69" t="inlineStr">
        <is>
          <t>On Track</t>
        </is>
      </c>
    </row>
    <row r="191" ht="16" customHeight="1">
      <c r="A191" s="106" t="inlineStr">
        <is>
          <t>CC-00190</t>
        </is>
      </c>
      <c r="B191" s="71" t="inlineStr">
        <is>
          <t>EVT-2025-018</t>
        </is>
      </c>
      <c r="C191" s="70" t="inlineStr">
        <is>
          <t>Caprexosin Launch Event Prague Jan 2025</t>
        </is>
      </c>
      <c r="D191" s="70" t="inlineStr">
        <is>
          <t>Oncology</t>
        </is>
      </c>
      <c r="E191" s="70" t="inlineStr">
        <is>
          <t>BU Oncology</t>
        </is>
      </c>
      <c r="F191" s="71" t="inlineStr">
        <is>
          <t>Venue</t>
        </is>
      </c>
      <c r="G191" s="71" t="inlineStr">
        <is>
          <t>Jan-2025</t>
        </is>
      </c>
      <c r="H191" s="71" t="inlineStr">
        <is>
          <t>Q1 2025</t>
        </is>
      </c>
      <c r="I191" s="73" t="n">
        <v>21493.15</v>
      </c>
      <c r="J191" s="73" t="n">
        <v>15391.46</v>
      </c>
      <c r="K191" s="73" t="n">
        <v>14184.86</v>
      </c>
      <c r="L191" s="80" t="n">
        <v>6101.69</v>
      </c>
      <c r="M191" s="78" t="n">
        <v>0.2839</v>
      </c>
      <c r="N191" s="107" t="n">
        <v>0.7161100164471005</v>
      </c>
      <c r="O191" s="108" t="inlineStr">
        <is>
          <t>Under</t>
        </is>
      </c>
      <c r="P191" s="69" t="inlineStr">
        <is>
          <t>On Track</t>
        </is>
      </c>
    </row>
    <row r="192" ht="16" customHeight="1">
      <c r="A192" s="98" t="inlineStr">
        <is>
          <t>CC-00191</t>
        </is>
      </c>
      <c r="B192" s="99" t="inlineStr">
        <is>
          <t>EVT-2025-018</t>
        </is>
      </c>
      <c r="C192" s="100" t="inlineStr">
        <is>
          <t>Caprexosin Launch Event Prague Jan 2025</t>
        </is>
      </c>
      <c r="D192" s="100" t="inlineStr">
        <is>
          <t>Oncology</t>
        </is>
      </c>
      <c r="E192" s="100" t="inlineStr">
        <is>
          <t>BU Oncology</t>
        </is>
      </c>
      <c r="F192" s="99" t="inlineStr">
        <is>
          <t>F&amp;B</t>
        </is>
      </c>
      <c r="G192" s="99" t="inlineStr">
        <is>
          <t>Jan-2025</t>
        </is>
      </c>
      <c r="H192" s="99" t="inlineStr">
        <is>
          <t>Q1 2025</t>
        </is>
      </c>
      <c r="I192" s="101" t="n">
        <v>17194.52</v>
      </c>
      <c r="J192" s="101" t="n">
        <v>17627.25</v>
      </c>
      <c r="K192" s="101" t="n">
        <v>12536.31</v>
      </c>
      <c r="L192" s="109" t="n">
        <v>-432.73</v>
      </c>
      <c r="M192" s="103" t="n">
        <v>-0.0252</v>
      </c>
      <c r="N192" s="104" t="n">
        <v>1.025166739170387</v>
      </c>
      <c r="O192" s="111" t="inlineStr">
        <is>
          <t>Over</t>
        </is>
      </c>
      <c r="P192" s="69" t="inlineStr">
        <is>
          <t>On Track</t>
        </is>
      </c>
    </row>
    <row r="193" ht="16" customHeight="1">
      <c r="A193" s="106" t="inlineStr">
        <is>
          <t>CC-00192</t>
        </is>
      </c>
      <c r="B193" s="71" t="inlineStr">
        <is>
          <t>EVT-2025-018</t>
        </is>
      </c>
      <c r="C193" s="70" t="inlineStr">
        <is>
          <t>Caprexosin Launch Event Prague Jan 2025</t>
        </is>
      </c>
      <c r="D193" s="70" t="inlineStr">
        <is>
          <t>Oncology</t>
        </is>
      </c>
      <c r="E193" s="70" t="inlineStr">
        <is>
          <t>BU Oncology</t>
        </is>
      </c>
      <c r="F193" s="71" t="inlineStr">
        <is>
          <t>Logistics</t>
        </is>
      </c>
      <c r="G193" s="71" t="inlineStr">
        <is>
          <t>Jan-2025</t>
        </is>
      </c>
      <c r="H193" s="71" t="inlineStr">
        <is>
          <t>Q1 2025</t>
        </is>
      </c>
      <c r="I193" s="73" t="n">
        <v>8597.26</v>
      </c>
      <c r="J193" s="73" t="n">
        <v>9119.42</v>
      </c>
      <c r="K193" s="73" t="n">
        <v>7526.85</v>
      </c>
      <c r="L193" s="74" t="n">
        <v>-522.16</v>
      </c>
      <c r="M193" s="75" t="n">
        <v>-0.0607</v>
      </c>
      <c r="N193" s="107" t="n">
        <v>1.060735629723889</v>
      </c>
      <c r="O193" s="112" t="inlineStr">
        <is>
          <t>Over</t>
        </is>
      </c>
      <c r="P193" s="76" t="inlineStr">
        <is>
          <t>Watch</t>
        </is>
      </c>
    </row>
    <row r="194" ht="16" customHeight="1">
      <c r="A194" s="98" t="inlineStr">
        <is>
          <t>CC-00193</t>
        </is>
      </c>
      <c r="B194" s="99" t="inlineStr">
        <is>
          <t>EVT-2025-018</t>
        </is>
      </c>
      <c r="C194" s="100" t="inlineStr">
        <is>
          <t>Caprexosin Launch Event Prague Jan 2025</t>
        </is>
      </c>
      <c r="D194" s="100" t="inlineStr">
        <is>
          <t>Oncology</t>
        </is>
      </c>
      <c r="E194" s="100" t="inlineStr">
        <is>
          <t>BU Oncology</t>
        </is>
      </c>
      <c r="F194" s="99" t="inlineStr">
        <is>
          <t>AV &amp; Technology</t>
        </is>
      </c>
      <c r="G194" s="99" t="inlineStr">
        <is>
          <t>Jan-2025</t>
        </is>
      </c>
      <c r="H194" s="99" t="inlineStr">
        <is>
          <t>Q1 2025</t>
        </is>
      </c>
      <c r="I194" s="101" t="n">
        <v>11463.02</v>
      </c>
      <c r="J194" s="101" t="n">
        <v>11678.55</v>
      </c>
      <c r="K194" s="101" t="n">
        <v>11447.04</v>
      </c>
      <c r="L194" s="109" t="n">
        <v>-215.53</v>
      </c>
      <c r="M194" s="103" t="n">
        <v>-0.0188</v>
      </c>
      <c r="N194" s="104" t="n">
        <v>1.018802200467241</v>
      </c>
      <c r="O194" s="111" t="inlineStr">
        <is>
          <t>Over</t>
        </is>
      </c>
      <c r="P194" s="69" t="inlineStr">
        <is>
          <t>On Track</t>
        </is>
      </c>
    </row>
    <row r="195" ht="16" customHeight="1">
      <c r="A195" s="106" t="inlineStr">
        <is>
          <t>CC-00194</t>
        </is>
      </c>
      <c r="B195" s="71" t="inlineStr">
        <is>
          <t>EVT-2025-018</t>
        </is>
      </c>
      <c r="C195" s="70" t="inlineStr">
        <is>
          <t>Caprexosin Launch Event Prague Jan 2025</t>
        </is>
      </c>
      <c r="D195" s="70" t="inlineStr">
        <is>
          <t>Oncology</t>
        </is>
      </c>
      <c r="E195" s="70" t="inlineStr">
        <is>
          <t>BU Oncology</t>
        </is>
      </c>
      <c r="F195" s="71" t="inlineStr">
        <is>
          <t>Agency Fees</t>
        </is>
      </c>
      <c r="G195" s="71" t="inlineStr">
        <is>
          <t>Jan-2025</t>
        </is>
      </c>
      <c r="H195" s="71" t="inlineStr">
        <is>
          <t>Q1 2025</t>
        </is>
      </c>
      <c r="I195" s="73" t="n">
        <v>20060.28</v>
      </c>
      <c r="J195" s="73" t="n">
        <v>12400.66</v>
      </c>
      <c r="K195" s="73" t="n">
        <v>11791.3</v>
      </c>
      <c r="L195" s="80" t="n">
        <v>7659.62</v>
      </c>
      <c r="M195" s="78" t="n">
        <v>0.3818</v>
      </c>
      <c r="N195" s="107" t="n">
        <v>0.6181698361139526</v>
      </c>
      <c r="O195" s="108" t="inlineStr">
        <is>
          <t>Under</t>
        </is>
      </c>
      <c r="P195" s="69" t="inlineStr">
        <is>
          <t>On Track</t>
        </is>
      </c>
    </row>
    <row r="196" ht="16" customHeight="1">
      <c r="A196" s="98" t="inlineStr">
        <is>
          <t>CC-00195</t>
        </is>
      </c>
      <c r="B196" s="99" t="inlineStr">
        <is>
          <t>EVT-2025-018</t>
        </is>
      </c>
      <c r="C196" s="100" t="inlineStr">
        <is>
          <t>Caprexosin Launch Event Prague Jan 2025</t>
        </is>
      </c>
      <c r="D196" s="100" t="inlineStr">
        <is>
          <t>Oncology</t>
        </is>
      </c>
      <c r="E196" s="100" t="inlineStr">
        <is>
          <t>BU Oncology</t>
        </is>
      </c>
      <c r="F196" s="99" t="inlineStr">
        <is>
          <t>Speaker Fees</t>
        </is>
      </c>
      <c r="G196" s="99" t="inlineStr">
        <is>
          <t>Jan-2025</t>
        </is>
      </c>
      <c r="H196" s="99" t="inlineStr">
        <is>
          <t>Q1 2025</t>
        </is>
      </c>
      <c r="I196" s="101" t="n">
        <v>14328.77</v>
      </c>
      <c r="J196" s="101" t="n">
        <v>14242.52</v>
      </c>
      <c r="K196" s="101" t="n">
        <v>10765.83</v>
      </c>
      <c r="L196" s="102" t="n">
        <v>86.25</v>
      </c>
      <c r="M196" s="103" t="n">
        <v>0.006</v>
      </c>
      <c r="N196" s="104" t="n">
        <v>0.9939806417438483</v>
      </c>
      <c r="O196" s="105" t="inlineStr">
        <is>
          <t>Under</t>
        </is>
      </c>
      <c r="P196" s="69" t="inlineStr">
        <is>
          <t>On Track</t>
        </is>
      </c>
    </row>
    <row r="197" ht="16" customHeight="1">
      <c r="A197" s="106" t="inlineStr">
        <is>
          <t>CC-00196</t>
        </is>
      </c>
      <c r="B197" s="71" t="inlineStr">
        <is>
          <t>EVT-2025-018</t>
        </is>
      </c>
      <c r="C197" s="70" t="inlineStr">
        <is>
          <t>Caprexosin Launch Event Prague Jan 2025</t>
        </is>
      </c>
      <c r="D197" s="70" t="inlineStr">
        <is>
          <t>Oncology</t>
        </is>
      </c>
      <c r="E197" s="70" t="inlineStr">
        <is>
          <t>BU Oncology</t>
        </is>
      </c>
      <c r="F197" s="71" t="inlineStr">
        <is>
          <t>Translation</t>
        </is>
      </c>
      <c r="G197" s="71" t="inlineStr">
        <is>
          <t>Jan-2025</t>
        </is>
      </c>
      <c r="H197" s="71" t="inlineStr">
        <is>
          <t>Q1 2025</t>
        </is>
      </c>
      <c r="I197" s="73" t="n">
        <v>4298.63</v>
      </c>
      <c r="J197" s="73" t="n">
        <v>4189.02</v>
      </c>
      <c r="K197" s="73" t="n">
        <v>4028.53</v>
      </c>
      <c r="L197" s="80" t="n">
        <v>109.61</v>
      </c>
      <c r="M197" s="78" t="n">
        <v>0.0255</v>
      </c>
      <c r="N197" s="107" t="n">
        <v>0.974501178282383</v>
      </c>
      <c r="O197" s="108" t="inlineStr">
        <is>
          <t>Under</t>
        </is>
      </c>
      <c r="P197" s="69" t="inlineStr">
        <is>
          <t>On Track</t>
        </is>
      </c>
    </row>
    <row r="198" ht="16" customHeight="1">
      <c r="A198" s="98" t="inlineStr">
        <is>
          <t>CC-00197</t>
        </is>
      </c>
      <c r="B198" s="99" t="inlineStr">
        <is>
          <t>EVT-2025-018</t>
        </is>
      </c>
      <c r="C198" s="100" t="inlineStr">
        <is>
          <t>Caprexosin Launch Event Prague Jan 2025</t>
        </is>
      </c>
      <c r="D198" s="100" t="inlineStr">
        <is>
          <t>Oncology</t>
        </is>
      </c>
      <c r="E198" s="100" t="inlineStr">
        <is>
          <t>BU Oncology</t>
        </is>
      </c>
      <c r="F198" s="99" t="inlineStr">
        <is>
          <t>Print &amp; Production</t>
        </is>
      </c>
      <c r="G198" s="99" t="inlineStr">
        <is>
          <t>Jan-2025</t>
        </is>
      </c>
      <c r="H198" s="99" t="inlineStr">
        <is>
          <t>Q1 2025</t>
        </is>
      </c>
      <c r="I198" s="101" t="n">
        <v>2865.75</v>
      </c>
      <c r="J198" s="101" t="n">
        <v>2134.22</v>
      </c>
      <c r="K198" s="101" t="n">
        <v>1517.94</v>
      </c>
      <c r="L198" s="102" t="n">
        <v>731.53</v>
      </c>
      <c r="M198" s="103" t="n">
        <v>0.2553</v>
      </c>
      <c r="N198" s="104" t="n">
        <v>0.7447334903602896</v>
      </c>
      <c r="O198" s="105" t="inlineStr">
        <is>
          <t>Under</t>
        </is>
      </c>
      <c r="P198" s="69" t="inlineStr">
        <is>
          <t>On Track</t>
        </is>
      </c>
    </row>
    <row r="199" ht="16" customHeight="1">
      <c r="A199" s="106" t="inlineStr">
        <is>
          <t>CC-00198</t>
        </is>
      </c>
      <c r="B199" s="71" t="inlineStr">
        <is>
          <t>EVT-2025-018</t>
        </is>
      </c>
      <c r="C199" s="70" t="inlineStr">
        <is>
          <t>Caprexosin Launch Event Prague Jan 2025</t>
        </is>
      </c>
      <c r="D199" s="70" t="inlineStr">
        <is>
          <t>Oncology</t>
        </is>
      </c>
      <c r="E199" s="70" t="inlineStr">
        <is>
          <t>BU Oncology</t>
        </is>
      </c>
      <c r="F199" s="71" t="inlineStr">
        <is>
          <t>Miscellaneous</t>
        </is>
      </c>
      <c r="G199" s="71" t="inlineStr">
        <is>
          <t>Jan-2025</t>
        </is>
      </c>
      <c r="H199" s="71" t="inlineStr">
        <is>
          <t>Q1 2025</t>
        </is>
      </c>
      <c r="I199" s="73" t="n">
        <v>2865.75</v>
      </c>
      <c r="J199" s="73" t="n">
        <v>2147.01</v>
      </c>
      <c r="K199" s="73" t="n">
        <v>1891.16</v>
      </c>
      <c r="L199" s="80" t="n">
        <v>718.74</v>
      </c>
      <c r="M199" s="78" t="n">
        <v>0.2508</v>
      </c>
      <c r="N199" s="107" t="n">
        <v>0.7491965454069616</v>
      </c>
      <c r="O199" s="108" t="inlineStr">
        <is>
          <t>Under</t>
        </is>
      </c>
      <c r="P199" s="69" t="inlineStr">
        <is>
          <t>On Track</t>
        </is>
      </c>
    </row>
    <row r="200" ht="16" customHeight="1">
      <c r="A200" s="98" t="inlineStr">
        <is>
          <t>CC-00199</t>
        </is>
      </c>
      <c r="B200" s="99" t="inlineStr">
        <is>
          <t>EVT-2025-019</t>
        </is>
      </c>
      <c r="C200" s="100" t="inlineStr">
        <is>
          <t>Influximab Advisory Board London Sep 2025</t>
        </is>
      </c>
      <c r="D200" s="100" t="inlineStr">
        <is>
          <t>Immunology</t>
        </is>
      </c>
      <c r="E200" s="100" t="inlineStr">
        <is>
          <t>BU Immunology</t>
        </is>
      </c>
      <c r="F200" s="99" t="inlineStr">
        <is>
          <t>Airfare</t>
        </is>
      </c>
      <c r="G200" s="99" t="inlineStr">
        <is>
          <t>Sep-2025</t>
        </is>
      </c>
      <c r="H200" s="99" t="inlineStr">
        <is>
          <t>Q3 2025</t>
        </is>
      </c>
      <c r="I200" s="101" t="n">
        <v>35968.58</v>
      </c>
      <c r="J200" s="101" t="n">
        <v>38278.75</v>
      </c>
      <c r="K200" s="101" t="n">
        <v>30642.62</v>
      </c>
      <c r="L200" s="109" t="n">
        <v>-2310.17</v>
      </c>
      <c r="M200" s="110" t="n">
        <v>-0.06419999999999999</v>
      </c>
      <c r="N200" s="104" t="n">
        <v>1.064227445175762</v>
      </c>
      <c r="O200" s="111" t="inlineStr">
        <is>
          <t>Over</t>
        </is>
      </c>
      <c r="P200" s="76" t="inlineStr">
        <is>
          <t>Watch</t>
        </is>
      </c>
    </row>
    <row r="201" ht="16" customHeight="1">
      <c r="A201" s="106" t="inlineStr">
        <is>
          <t>CC-00200</t>
        </is>
      </c>
      <c r="B201" s="71" t="inlineStr">
        <is>
          <t>EVT-2025-019</t>
        </is>
      </c>
      <c r="C201" s="70" t="inlineStr">
        <is>
          <t>Influximab Advisory Board London Sep 2025</t>
        </is>
      </c>
      <c r="D201" s="70" t="inlineStr">
        <is>
          <t>Immunology</t>
        </is>
      </c>
      <c r="E201" s="70" t="inlineStr">
        <is>
          <t>BU Immunology</t>
        </is>
      </c>
      <c r="F201" s="71" t="inlineStr">
        <is>
          <t>Hotel</t>
        </is>
      </c>
      <c r="G201" s="71" t="inlineStr">
        <is>
          <t>Sep-2025</t>
        </is>
      </c>
      <c r="H201" s="71" t="inlineStr">
        <is>
          <t>Q3 2025</t>
        </is>
      </c>
      <c r="I201" s="73" t="n">
        <v>64743.45</v>
      </c>
      <c r="J201" s="73" t="n">
        <v>53554.13</v>
      </c>
      <c r="K201" s="73" t="n">
        <v>47791.37</v>
      </c>
      <c r="L201" s="80" t="n">
        <v>11189.32</v>
      </c>
      <c r="M201" s="78" t="n">
        <v>0.1728</v>
      </c>
      <c r="N201" s="107" t="n">
        <v>0.8271744863766142</v>
      </c>
      <c r="O201" s="108" t="inlineStr">
        <is>
          <t>Under</t>
        </is>
      </c>
      <c r="P201" s="69" t="inlineStr">
        <is>
          <t>On Track</t>
        </is>
      </c>
    </row>
    <row r="202" ht="16" customHeight="1">
      <c r="A202" s="98" t="inlineStr">
        <is>
          <t>CC-00201</t>
        </is>
      </c>
      <c r="B202" s="99" t="inlineStr">
        <is>
          <t>EVT-2025-019</t>
        </is>
      </c>
      <c r="C202" s="100" t="inlineStr">
        <is>
          <t>Influximab Advisory Board London Sep 2025</t>
        </is>
      </c>
      <c r="D202" s="100" t="inlineStr">
        <is>
          <t>Immunology</t>
        </is>
      </c>
      <c r="E202" s="100" t="inlineStr">
        <is>
          <t>BU Immunology</t>
        </is>
      </c>
      <c r="F202" s="99" t="inlineStr">
        <is>
          <t>Venue</t>
        </is>
      </c>
      <c r="G202" s="99" t="inlineStr">
        <is>
          <t>Sep-2025</t>
        </is>
      </c>
      <c r="H202" s="99" t="inlineStr">
        <is>
          <t>Q3 2025</t>
        </is>
      </c>
      <c r="I202" s="101" t="n">
        <v>53952.88</v>
      </c>
      <c r="J202" s="101" t="n">
        <v>46515.98</v>
      </c>
      <c r="K202" s="101" t="n">
        <v>44970.63</v>
      </c>
      <c r="L202" s="102" t="n">
        <v>7436.9</v>
      </c>
      <c r="M202" s="103" t="n">
        <v>0.1378</v>
      </c>
      <c r="N202" s="104" t="n">
        <v>0.8621593509002672</v>
      </c>
      <c r="O202" s="105" t="inlineStr">
        <is>
          <t>Under</t>
        </is>
      </c>
      <c r="P202" s="69" t="inlineStr">
        <is>
          <t>On Track</t>
        </is>
      </c>
    </row>
    <row r="203" ht="16" customHeight="1">
      <c r="A203" s="106" t="inlineStr">
        <is>
          <t>CC-00202</t>
        </is>
      </c>
      <c r="B203" s="71" t="inlineStr">
        <is>
          <t>EVT-2025-019</t>
        </is>
      </c>
      <c r="C203" s="70" t="inlineStr">
        <is>
          <t>Influximab Advisory Board London Sep 2025</t>
        </is>
      </c>
      <c r="D203" s="70" t="inlineStr">
        <is>
          <t>Immunology</t>
        </is>
      </c>
      <c r="E203" s="70" t="inlineStr">
        <is>
          <t>BU Immunology</t>
        </is>
      </c>
      <c r="F203" s="71" t="inlineStr">
        <is>
          <t>F&amp;B</t>
        </is>
      </c>
      <c r="G203" s="71" t="inlineStr">
        <is>
          <t>Sep-2025</t>
        </is>
      </c>
      <c r="H203" s="71" t="inlineStr">
        <is>
          <t>Q3 2025</t>
        </is>
      </c>
      <c r="I203" s="73" t="n">
        <v>43162.3</v>
      </c>
      <c r="J203" s="73" t="n">
        <v>28793.57</v>
      </c>
      <c r="K203" s="73" t="n">
        <v>24510.92</v>
      </c>
      <c r="L203" s="80" t="n">
        <v>14368.73</v>
      </c>
      <c r="M203" s="78" t="n">
        <v>0.3329</v>
      </c>
      <c r="N203" s="107" t="n">
        <v>0.6670999923544388</v>
      </c>
      <c r="O203" s="108" t="inlineStr">
        <is>
          <t>Under</t>
        </is>
      </c>
      <c r="P203" s="69" t="inlineStr">
        <is>
          <t>On Track</t>
        </is>
      </c>
    </row>
    <row r="204" ht="16" customHeight="1">
      <c r="A204" s="98" t="inlineStr">
        <is>
          <t>CC-00203</t>
        </is>
      </c>
      <c r="B204" s="99" t="inlineStr">
        <is>
          <t>EVT-2025-019</t>
        </is>
      </c>
      <c r="C204" s="100" t="inlineStr">
        <is>
          <t>Influximab Advisory Board London Sep 2025</t>
        </is>
      </c>
      <c r="D204" s="100" t="inlineStr">
        <is>
          <t>Immunology</t>
        </is>
      </c>
      <c r="E204" s="100" t="inlineStr">
        <is>
          <t>BU Immunology</t>
        </is>
      </c>
      <c r="F204" s="99" t="inlineStr">
        <is>
          <t>Logistics</t>
        </is>
      </c>
      <c r="G204" s="99" t="inlineStr">
        <is>
          <t>Sep-2025</t>
        </is>
      </c>
      <c r="H204" s="99" t="inlineStr">
        <is>
          <t>Q3 2025</t>
        </is>
      </c>
      <c r="I204" s="101" t="n">
        <v>21581.15</v>
      </c>
      <c r="J204" s="101" t="n">
        <v>15892.76</v>
      </c>
      <c r="K204" s="101" t="n">
        <v>14981.22</v>
      </c>
      <c r="L204" s="102" t="n">
        <v>5688.39</v>
      </c>
      <c r="M204" s="103" t="n">
        <v>0.2636</v>
      </c>
      <c r="N204" s="104" t="n">
        <v>0.7364185875173472</v>
      </c>
      <c r="O204" s="105" t="inlineStr">
        <is>
          <t>Under</t>
        </is>
      </c>
      <c r="P204" s="69" t="inlineStr">
        <is>
          <t>On Track</t>
        </is>
      </c>
    </row>
    <row r="205" ht="16" customHeight="1">
      <c r="A205" s="106" t="inlineStr">
        <is>
          <t>CC-00204</t>
        </is>
      </c>
      <c r="B205" s="71" t="inlineStr">
        <is>
          <t>EVT-2025-019</t>
        </is>
      </c>
      <c r="C205" s="70" t="inlineStr">
        <is>
          <t>Influximab Advisory Board London Sep 2025</t>
        </is>
      </c>
      <c r="D205" s="70" t="inlineStr">
        <is>
          <t>Immunology</t>
        </is>
      </c>
      <c r="E205" s="70" t="inlineStr">
        <is>
          <t>BU Immunology</t>
        </is>
      </c>
      <c r="F205" s="71" t="inlineStr">
        <is>
          <t>AV &amp; Technology</t>
        </is>
      </c>
      <c r="G205" s="71" t="inlineStr">
        <is>
          <t>Sep-2025</t>
        </is>
      </c>
      <c r="H205" s="71" t="inlineStr">
        <is>
          <t>Q3 2025</t>
        </is>
      </c>
      <c r="I205" s="73" t="n">
        <v>28774.87</v>
      </c>
      <c r="J205" s="73" t="n">
        <v>22022.62</v>
      </c>
      <c r="K205" s="73" t="n">
        <v>20246.18</v>
      </c>
      <c r="L205" s="80" t="n">
        <v>6752.25</v>
      </c>
      <c r="M205" s="78" t="n">
        <v>0.2347</v>
      </c>
      <c r="N205" s="107" t="n">
        <v>0.7653421197037554</v>
      </c>
      <c r="O205" s="108" t="inlineStr">
        <is>
          <t>Under</t>
        </is>
      </c>
      <c r="P205" s="69" t="inlineStr">
        <is>
          <t>On Track</t>
        </is>
      </c>
    </row>
    <row r="206" ht="16" customHeight="1">
      <c r="A206" s="98" t="inlineStr">
        <is>
          <t>CC-00205</t>
        </is>
      </c>
      <c r="B206" s="99" t="inlineStr">
        <is>
          <t>EVT-2025-019</t>
        </is>
      </c>
      <c r="C206" s="100" t="inlineStr">
        <is>
          <t>Influximab Advisory Board London Sep 2025</t>
        </is>
      </c>
      <c r="D206" s="100" t="inlineStr">
        <is>
          <t>Immunology</t>
        </is>
      </c>
      <c r="E206" s="100" t="inlineStr">
        <is>
          <t>BU Immunology</t>
        </is>
      </c>
      <c r="F206" s="99" t="inlineStr">
        <is>
          <t>Agency Fees</t>
        </is>
      </c>
      <c r="G206" s="99" t="inlineStr">
        <is>
          <t>Sep-2025</t>
        </is>
      </c>
      <c r="H206" s="99" t="inlineStr">
        <is>
          <t>Q3 2025</t>
        </is>
      </c>
      <c r="I206" s="101" t="n">
        <v>50356.02</v>
      </c>
      <c r="J206" s="101" t="n">
        <v>46536.15</v>
      </c>
      <c r="K206" s="101" t="n">
        <v>42607.54</v>
      </c>
      <c r="L206" s="102" t="n">
        <v>3819.87</v>
      </c>
      <c r="M206" s="103" t="n">
        <v>0.0759</v>
      </c>
      <c r="N206" s="104" t="n">
        <v>0.9241427340762833</v>
      </c>
      <c r="O206" s="105" t="inlineStr">
        <is>
          <t>Under</t>
        </is>
      </c>
      <c r="P206" s="69" t="inlineStr">
        <is>
          <t>On Track</t>
        </is>
      </c>
    </row>
    <row r="207" ht="16" customHeight="1">
      <c r="A207" s="106" t="inlineStr">
        <is>
          <t>CC-00206</t>
        </is>
      </c>
      <c r="B207" s="71" t="inlineStr">
        <is>
          <t>EVT-2025-019</t>
        </is>
      </c>
      <c r="C207" s="70" t="inlineStr">
        <is>
          <t>Influximab Advisory Board London Sep 2025</t>
        </is>
      </c>
      <c r="D207" s="70" t="inlineStr">
        <is>
          <t>Immunology</t>
        </is>
      </c>
      <c r="E207" s="70" t="inlineStr">
        <is>
          <t>BU Immunology</t>
        </is>
      </c>
      <c r="F207" s="71" t="inlineStr">
        <is>
          <t>Speaker Fees</t>
        </is>
      </c>
      <c r="G207" s="71" t="inlineStr">
        <is>
          <t>Sep-2025</t>
        </is>
      </c>
      <c r="H207" s="71" t="inlineStr">
        <is>
          <t>Q3 2025</t>
        </is>
      </c>
      <c r="I207" s="73" t="n">
        <v>35968.58</v>
      </c>
      <c r="J207" s="73" t="n">
        <v>21834.44</v>
      </c>
      <c r="K207" s="73" t="n">
        <v>17492.3</v>
      </c>
      <c r="L207" s="80" t="n">
        <v>14134.14</v>
      </c>
      <c r="M207" s="78" t="n">
        <v>0.393</v>
      </c>
      <c r="N207" s="107" t="n">
        <v>0.6070420350205651</v>
      </c>
      <c r="O207" s="108" t="inlineStr">
        <is>
          <t>Under</t>
        </is>
      </c>
      <c r="P207" s="69" t="inlineStr">
        <is>
          <t>On Track</t>
        </is>
      </c>
    </row>
    <row r="208" ht="16" customHeight="1">
      <c r="A208" s="98" t="inlineStr">
        <is>
          <t>CC-00207</t>
        </is>
      </c>
      <c r="B208" s="99" t="inlineStr">
        <is>
          <t>EVT-2025-019</t>
        </is>
      </c>
      <c r="C208" s="100" t="inlineStr">
        <is>
          <t>Influximab Advisory Board London Sep 2025</t>
        </is>
      </c>
      <c r="D208" s="100" t="inlineStr">
        <is>
          <t>Immunology</t>
        </is>
      </c>
      <c r="E208" s="100" t="inlineStr">
        <is>
          <t>BU Immunology</t>
        </is>
      </c>
      <c r="F208" s="99" t="inlineStr">
        <is>
          <t>Translation</t>
        </is>
      </c>
      <c r="G208" s="99" t="inlineStr">
        <is>
          <t>Sep-2025</t>
        </is>
      </c>
      <c r="H208" s="99" t="inlineStr">
        <is>
          <t>Q3 2025</t>
        </is>
      </c>
      <c r="I208" s="101" t="n">
        <v>10790.58</v>
      </c>
      <c r="J208" s="101" t="n">
        <v>8066.09</v>
      </c>
      <c r="K208" s="101" t="n">
        <v>7278.2</v>
      </c>
      <c r="L208" s="102" t="n">
        <v>2724.49</v>
      </c>
      <c r="M208" s="103" t="n">
        <v>0.2525</v>
      </c>
      <c r="N208" s="104" t="n">
        <v>0.747512181921639</v>
      </c>
      <c r="O208" s="105" t="inlineStr">
        <is>
          <t>Under</t>
        </is>
      </c>
      <c r="P208" s="69" t="inlineStr">
        <is>
          <t>On Track</t>
        </is>
      </c>
    </row>
    <row r="209" ht="16" customHeight="1">
      <c r="A209" s="106" t="inlineStr">
        <is>
          <t>CC-00208</t>
        </is>
      </c>
      <c r="B209" s="71" t="inlineStr">
        <is>
          <t>EVT-2025-019</t>
        </is>
      </c>
      <c r="C209" s="70" t="inlineStr">
        <is>
          <t>Influximab Advisory Board London Sep 2025</t>
        </is>
      </c>
      <c r="D209" s="70" t="inlineStr">
        <is>
          <t>Immunology</t>
        </is>
      </c>
      <c r="E209" s="70" t="inlineStr">
        <is>
          <t>BU Immunology</t>
        </is>
      </c>
      <c r="F209" s="71" t="inlineStr">
        <is>
          <t>Print &amp; Production</t>
        </is>
      </c>
      <c r="G209" s="71" t="inlineStr">
        <is>
          <t>Sep-2025</t>
        </is>
      </c>
      <c r="H209" s="71" t="inlineStr">
        <is>
          <t>Q3 2025</t>
        </is>
      </c>
      <c r="I209" s="73" t="n">
        <v>7193.72</v>
      </c>
      <c r="J209" s="73" t="n">
        <v>5011.01</v>
      </c>
      <c r="K209" s="73" t="n">
        <v>4426.16</v>
      </c>
      <c r="L209" s="80" t="n">
        <v>2182.71</v>
      </c>
      <c r="M209" s="78" t="n">
        <v>0.3034</v>
      </c>
      <c r="N209" s="107" t="n">
        <v>0.6965811846999883</v>
      </c>
      <c r="O209" s="108" t="inlineStr">
        <is>
          <t>Under</t>
        </is>
      </c>
      <c r="P209" s="69" t="inlineStr">
        <is>
          <t>On Track</t>
        </is>
      </c>
    </row>
    <row r="210" ht="16" customHeight="1">
      <c r="A210" s="98" t="inlineStr">
        <is>
          <t>CC-00209</t>
        </is>
      </c>
      <c r="B210" s="99" t="inlineStr">
        <is>
          <t>EVT-2025-019</t>
        </is>
      </c>
      <c r="C210" s="100" t="inlineStr">
        <is>
          <t>Influximab Advisory Board London Sep 2025</t>
        </is>
      </c>
      <c r="D210" s="100" t="inlineStr">
        <is>
          <t>Immunology</t>
        </is>
      </c>
      <c r="E210" s="100" t="inlineStr">
        <is>
          <t>BU Immunology</t>
        </is>
      </c>
      <c r="F210" s="99" t="inlineStr">
        <is>
          <t>Miscellaneous</t>
        </is>
      </c>
      <c r="G210" s="99" t="inlineStr">
        <is>
          <t>Sep-2025</t>
        </is>
      </c>
      <c r="H210" s="99" t="inlineStr">
        <is>
          <t>Q3 2025</t>
        </is>
      </c>
      <c r="I210" s="101" t="n">
        <v>7193.72</v>
      </c>
      <c r="J210" s="101" t="n">
        <v>6613.64</v>
      </c>
      <c r="K210" s="101" t="n">
        <v>5434.08</v>
      </c>
      <c r="L210" s="102" t="n">
        <v>580.08</v>
      </c>
      <c r="M210" s="103" t="n">
        <v>0.0806</v>
      </c>
      <c r="N210" s="104" t="n">
        <v>0.9193629999499564</v>
      </c>
      <c r="O210" s="105" t="inlineStr">
        <is>
          <t>Under</t>
        </is>
      </c>
      <c r="P210" s="69" t="inlineStr">
        <is>
          <t>On Track</t>
        </is>
      </c>
    </row>
    <row r="211" ht="16" customHeight="1">
      <c r="A211" s="106" t="inlineStr">
        <is>
          <t>CC-00210</t>
        </is>
      </c>
      <c r="B211" s="71" t="inlineStr">
        <is>
          <t>EVT-2025-020</t>
        </is>
      </c>
      <c r="C211" s="70" t="inlineStr">
        <is>
          <t>Cognivex Symposium Istanbul Mar 2025</t>
        </is>
      </c>
      <c r="D211" s="70" t="inlineStr">
        <is>
          <t>Neurology</t>
        </is>
      </c>
      <c r="E211" s="70" t="inlineStr">
        <is>
          <t>BU Neuroscience</t>
        </is>
      </c>
      <c r="F211" s="71" t="inlineStr">
        <is>
          <t>Airfare</t>
        </is>
      </c>
      <c r="G211" s="71" t="inlineStr">
        <is>
          <t>Mar-2025</t>
        </is>
      </c>
      <c r="H211" s="71" t="inlineStr">
        <is>
          <t>Q1 2025</t>
        </is>
      </c>
      <c r="I211" s="73" t="n">
        <v>25911.64</v>
      </c>
      <c r="J211" s="73" t="n">
        <v>21088.23</v>
      </c>
      <c r="K211" s="73" t="n">
        <v>16836.38</v>
      </c>
      <c r="L211" s="80" t="n">
        <v>4823.41</v>
      </c>
      <c r="M211" s="78" t="n">
        <v>0.1861</v>
      </c>
      <c r="N211" s="107" t="n">
        <v>0.8138516126343218</v>
      </c>
      <c r="O211" s="108" t="inlineStr">
        <is>
          <t>Under</t>
        </is>
      </c>
      <c r="P211" s="69" t="inlineStr">
        <is>
          <t>On Track</t>
        </is>
      </c>
    </row>
    <row r="212" ht="16" customHeight="1">
      <c r="A212" s="98" t="inlineStr">
        <is>
          <t>CC-00211</t>
        </is>
      </c>
      <c r="B212" s="99" t="inlineStr">
        <is>
          <t>EVT-2025-020</t>
        </is>
      </c>
      <c r="C212" s="100" t="inlineStr">
        <is>
          <t>Cognivex Symposium Istanbul Mar 2025</t>
        </is>
      </c>
      <c r="D212" s="100" t="inlineStr">
        <is>
          <t>Neurology</t>
        </is>
      </c>
      <c r="E212" s="100" t="inlineStr">
        <is>
          <t>BU Neuroscience</t>
        </is>
      </c>
      <c r="F212" s="99" t="inlineStr">
        <is>
          <t>Hotel</t>
        </is>
      </c>
      <c r="G212" s="99" t="inlineStr">
        <is>
          <t>Mar-2025</t>
        </is>
      </c>
      <c r="H212" s="99" t="inlineStr">
        <is>
          <t>Q1 2025</t>
        </is>
      </c>
      <c r="I212" s="101" t="n">
        <v>46640.96</v>
      </c>
      <c r="J212" s="101" t="n">
        <v>37332.2</v>
      </c>
      <c r="K212" s="101" t="n">
        <v>27200.82</v>
      </c>
      <c r="L212" s="102" t="n">
        <v>9308.76</v>
      </c>
      <c r="M212" s="103" t="n">
        <v>0.1996</v>
      </c>
      <c r="N212" s="104" t="n">
        <v>0.8004166295033378</v>
      </c>
      <c r="O212" s="105" t="inlineStr">
        <is>
          <t>Under</t>
        </is>
      </c>
      <c r="P212" s="69" t="inlineStr">
        <is>
          <t>On Track</t>
        </is>
      </c>
    </row>
    <row r="213" ht="16" customHeight="1">
      <c r="A213" s="106" t="inlineStr">
        <is>
          <t>CC-00212</t>
        </is>
      </c>
      <c r="B213" s="71" t="inlineStr">
        <is>
          <t>EVT-2025-020</t>
        </is>
      </c>
      <c r="C213" s="70" t="inlineStr">
        <is>
          <t>Cognivex Symposium Istanbul Mar 2025</t>
        </is>
      </c>
      <c r="D213" s="70" t="inlineStr">
        <is>
          <t>Neurology</t>
        </is>
      </c>
      <c r="E213" s="70" t="inlineStr">
        <is>
          <t>BU Neuroscience</t>
        </is>
      </c>
      <c r="F213" s="71" t="inlineStr">
        <is>
          <t>Venue</t>
        </is>
      </c>
      <c r="G213" s="71" t="inlineStr">
        <is>
          <t>Mar-2025</t>
        </is>
      </c>
      <c r="H213" s="71" t="inlineStr">
        <is>
          <t>Q1 2025</t>
        </is>
      </c>
      <c r="I213" s="73" t="n">
        <v>38867.47</v>
      </c>
      <c r="J213" s="73" t="n">
        <v>42398.29</v>
      </c>
      <c r="K213" s="73" t="n">
        <v>35751.77</v>
      </c>
      <c r="L213" s="74" t="n">
        <v>-3530.82</v>
      </c>
      <c r="M213" s="75" t="n">
        <v>-0.09080000000000001</v>
      </c>
      <c r="N213" s="107" t="n">
        <v>1.090842547765522</v>
      </c>
      <c r="O213" s="112" t="inlineStr">
        <is>
          <t>Over</t>
        </is>
      </c>
      <c r="P213" s="76" t="inlineStr">
        <is>
          <t>Watch</t>
        </is>
      </c>
    </row>
    <row r="214" ht="16" customHeight="1">
      <c r="A214" s="98" t="inlineStr">
        <is>
          <t>CC-00213</t>
        </is>
      </c>
      <c r="B214" s="99" t="inlineStr">
        <is>
          <t>EVT-2025-020</t>
        </is>
      </c>
      <c r="C214" s="100" t="inlineStr">
        <is>
          <t>Cognivex Symposium Istanbul Mar 2025</t>
        </is>
      </c>
      <c r="D214" s="100" t="inlineStr">
        <is>
          <t>Neurology</t>
        </is>
      </c>
      <c r="E214" s="100" t="inlineStr">
        <is>
          <t>BU Neuroscience</t>
        </is>
      </c>
      <c r="F214" s="99" t="inlineStr">
        <is>
          <t>F&amp;B</t>
        </is>
      </c>
      <c r="G214" s="99" t="inlineStr">
        <is>
          <t>Mar-2025</t>
        </is>
      </c>
      <c r="H214" s="99" t="inlineStr">
        <is>
          <t>Q1 2025</t>
        </is>
      </c>
      <c r="I214" s="101" t="n">
        <v>31093.97</v>
      </c>
      <c r="J214" s="101" t="n">
        <v>33205.65</v>
      </c>
      <c r="K214" s="101" t="n">
        <v>23311.99</v>
      </c>
      <c r="L214" s="109" t="n">
        <v>-2111.68</v>
      </c>
      <c r="M214" s="110" t="n">
        <v>-0.0679</v>
      </c>
      <c r="N214" s="104" t="n">
        <v>1.067912846124184</v>
      </c>
      <c r="O214" s="111" t="inlineStr">
        <is>
          <t>Over</t>
        </is>
      </c>
      <c r="P214" s="76" t="inlineStr">
        <is>
          <t>Watch</t>
        </is>
      </c>
    </row>
    <row r="215" ht="16" customHeight="1">
      <c r="A215" s="106" t="inlineStr">
        <is>
          <t>CC-00214</t>
        </is>
      </c>
      <c r="B215" s="71" t="inlineStr">
        <is>
          <t>EVT-2025-020</t>
        </is>
      </c>
      <c r="C215" s="70" t="inlineStr">
        <is>
          <t>Cognivex Symposium Istanbul Mar 2025</t>
        </is>
      </c>
      <c r="D215" s="70" t="inlineStr">
        <is>
          <t>Neurology</t>
        </is>
      </c>
      <c r="E215" s="70" t="inlineStr">
        <is>
          <t>BU Neuroscience</t>
        </is>
      </c>
      <c r="F215" s="71" t="inlineStr">
        <is>
          <t>Logistics</t>
        </is>
      </c>
      <c r="G215" s="71" t="inlineStr">
        <is>
          <t>Mar-2025</t>
        </is>
      </c>
      <c r="H215" s="71" t="inlineStr">
        <is>
          <t>Q1 2025</t>
        </is>
      </c>
      <c r="I215" s="73" t="n">
        <v>15546.99</v>
      </c>
      <c r="J215" s="73" t="n">
        <v>12309.91</v>
      </c>
      <c r="K215" s="73" t="n">
        <v>10266.72</v>
      </c>
      <c r="L215" s="80" t="n">
        <v>3237.08</v>
      </c>
      <c r="M215" s="78" t="n">
        <v>0.2082</v>
      </c>
      <c r="N215" s="107" t="n">
        <v>0.7917873491910653</v>
      </c>
      <c r="O215" s="108" t="inlineStr">
        <is>
          <t>Under</t>
        </is>
      </c>
      <c r="P215" s="69" t="inlineStr">
        <is>
          <t>On Track</t>
        </is>
      </c>
    </row>
    <row r="216" ht="16" customHeight="1">
      <c r="A216" s="98" t="inlineStr">
        <is>
          <t>CC-00215</t>
        </is>
      </c>
      <c r="B216" s="99" t="inlineStr">
        <is>
          <t>EVT-2025-020</t>
        </is>
      </c>
      <c r="C216" s="100" t="inlineStr">
        <is>
          <t>Cognivex Symposium Istanbul Mar 2025</t>
        </is>
      </c>
      <c r="D216" s="100" t="inlineStr">
        <is>
          <t>Neurology</t>
        </is>
      </c>
      <c r="E216" s="100" t="inlineStr">
        <is>
          <t>BU Neuroscience</t>
        </is>
      </c>
      <c r="F216" s="99" t="inlineStr">
        <is>
          <t>AV &amp; Technology</t>
        </is>
      </c>
      <c r="G216" s="99" t="inlineStr">
        <is>
          <t>Mar-2025</t>
        </is>
      </c>
      <c r="H216" s="99" t="inlineStr">
        <is>
          <t>Q1 2025</t>
        </is>
      </c>
      <c r="I216" s="101" t="n">
        <v>20729.32</v>
      </c>
      <c r="J216" s="101" t="n">
        <v>15204.9</v>
      </c>
      <c r="K216" s="101" t="n">
        <v>12147.01</v>
      </c>
      <c r="L216" s="102" t="n">
        <v>5524.42</v>
      </c>
      <c r="M216" s="103" t="n">
        <v>0.2665</v>
      </c>
      <c r="N216" s="104" t="n">
        <v>0.7334972878994583</v>
      </c>
      <c r="O216" s="105" t="inlineStr">
        <is>
          <t>Under</t>
        </is>
      </c>
      <c r="P216" s="69" t="inlineStr">
        <is>
          <t>On Track</t>
        </is>
      </c>
    </row>
    <row r="217" ht="16" customHeight="1">
      <c r="A217" s="106" t="inlineStr">
        <is>
          <t>CC-00216</t>
        </is>
      </c>
      <c r="B217" s="71" t="inlineStr">
        <is>
          <t>EVT-2025-020</t>
        </is>
      </c>
      <c r="C217" s="70" t="inlineStr">
        <is>
          <t>Cognivex Symposium Istanbul Mar 2025</t>
        </is>
      </c>
      <c r="D217" s="70" t="inlineStr">
        <is>
          <t>Neurology</t>
        </is>
      </c>
      <c r="E217" s="70" t="inlineStr">
        <is>
          <t>BU Neuroscience</t>
        </is>
      </c>
      <c r="F217" s="71" t="inlineStr">
        <is>
          <t>Agency Fees</t>
        </is>
      </c>
      <c r="G217" s="71" t="inlineStr">
        <is>
          <t>Mar-2025</t>
        </is>
      </c>
      <c r="H217" s="71" t="inlineStr">
        <is>
          <t>Q1 2025</t>
        </is>
      </c>
      <c r="I217" s="73" t="n">
        <v>36276.3</v>
      </c>
      <c r="J217" s="73" t="n">
        <v>32330.54</v>
      </c>
      <c r="K217" s="73" t="n">
        <v>28187.81</v>
      </c>
      <c r="L217" s="80" t="n">
        <v>3945.76</v>
      </c>
      <c r="M217" s="78" t="n">
        <v>0.1088</v>
      </c>
      <c r="N217" s="107" t="n">
        <v>0.89123036252319</v>
      </c>
      <c r="O217" s="108" t="inlineStr">
        <is>
          <t>Under</t>
        </is>
      </c>
      <c r="P217" s="69" t="inlineStr">
        <is>
          <t>On Track</t>
        </is>
      </c>
    </row>
    <row r="218" ht="16" customHeight="1">
      <c r="A218" s="98" t="inlineStr">
        <is>
          <t>CC-00217</t>
        </is>
      </c>
      <c r="B218" s="99" t="inlineStr">
        <is>
          <t>EVT-2025-020</t>
        </is>
      </c>
      <c r="C218" s="100" t="inlineStr">
        <is>
          <t>Cognivex Symposium Istanbul Mar 2025</t>
        </is>
      </c>
      <c r="D218" s="100" t="inlineStr">
        <is>
          <t>Neurology</t>
        </is>
      </c>
      <c r="E218" s="100" t="inlineStr">
        <is>
          <t>BU Neuroscience</t>
        </is>
      </c>
      <c r="F218" s="99" t="inlineStr">
        <is>
          <t>Speaker Fees</t>
        </is>
      </c>
      <c r="G218" s="99" t="inlineStr">
        <is>
          <t>Mar-2025</t>
        </is>
      </c>
      <c r="H218" s="99" t="inlineStr">
        <is>
          <t>Q1 2025</t>
        </is>
      </c>
      <c r="I218" s="101" t="n">
        <v>25911.64</v>
      </c>
      <c r="J218" s="101" t="n">
        <v>18935.62</v>
      </c>
      <c r="K218" s="101" t="n">
        <v>15297.44</v>
      </c>
      <c r="L218" s="102" t="n">
        <v>6976.02</v>
      </c>
      <c r="M218" s="103" t="n">
        <v>0.2692</v>
      </c>
      <c r="N218" s="104" t="n">
        <v>0.7307765930678258</v>
      </c>
      <c r="O218" s="105" t="inlineStr">
        <is>
          <t>Under</t>
        </is>
      </c>
      <c r="P218" s="69" t="inlineStr">
        <is>
          <t>On Track</t>
        </is>
      </c>
    </row>
    <row r="219" ht="16" customHeight="1">
      <c r="A219" s="106" t="inlineStr">
        <is>
          <t>CC-00218</t>
        </is>
      </c>
      <c r="B219" s="71" t="inlineStr">
        <is>
          <t>EVT-2025-020</t>
        </is>
      </c>
      <c r="C219" s="70" t="inlineStr">
        <is>
          <t>Cognivex Symposium Istanbul Mar 2025</t>
        </is>
      </c>
      <c r="D219" s="70" t="inlineStr">
        <is>
          <t>Neurology</t>
        </is>
      </c>
      <c r="E219" s="70" t="inlineStr">
        <is>
          <t>BU Neuroscience</t>
        </is>
      </c>
      <c r="F219" s="71" t="inlineStr">
        <is>
          <t>Translation</t>
        </is>
      </c>
      <c r="G219" s="71" t="inlineStr">
        <is>
          <t>Mar-2025</t>
        </is>
      </c>
      <c r="H219" s="71" t="inlineStr">
        <is>
          <t>Q1 2025</t>
        </is>
      </c>
      <c r="I219" s="73" t="n">
        <v>7773.49</v>
      </c>
      <c r="J219" s="73" t="n">
        <v>5582.54</v>
      </c>
      <c r="K219" s="73" t="n">
        <v>5026.16</v>
      </c>
      <c r="L219" s="80" t="n">
        <v>2190.95</v>
      </c>
      <c r="M219" s="78" t="n">
        <v>0.2818</v>
      </c>
      <c r="N219" s="107" t="n">
        <v>0.7181510492713055</v>
      </c>
      <c r="O219" s="108" t="inlineStr">
        <is>
          <t>Under</t>
        </is>
      </c>
      <c r="P219" s="69" t="inlineStr">
        <is>
          <t>On Track</t>
        </is>
      </c>
    </row>
    <row r="220" ht="16" customHeight="1">
      <c r="A220" s="98" t="inlineStr">
        <is>
          <t>CC-00219</t>
        </is>
      </c>
      <c r="B220" s="99" t="inlineStr">
        <is>
          <t>EVT-2025-020</t>
        </is>
      </c>
      <c r="C220" s="100" t="inlineStr">
        <is>
          <t>Cognivex Symposium Istanbul Mar 2025</t>
        </is>
      </c>
      <c r="D220" s="100" t="inlineStr">
        <is>
          <t>Neurology</t>
        </is>
      </c>
      <c r="E220" s="100" t="inlineStr">
        <is>
          <t>BU Neuroscience</t>
        </is>
      </c>
      <c r="F220" s="99" t="inlineStr">
        <is>
          <t>Print &amp; Production</t>
        </is>
      </c>
      <c r="G220" s="99" t="inlineStr">
        <is>
          <t>Mar-2025</t>
        </is>
      </c>
      <c r="H220" s="99" t="inlineStr">
        <is>
          <t>Q1 2025</t>
        </is>
      </c>
      <c r="I220" s="101" t="n">
        <v>5182.33</v>
      </c>
      <c r="J220" s="101" t="n">
        <v>4315.31</v>
      </c>
      <c r="K220" s="101" t="n">
        <v>3227.49</v>
      </c>
      <c r="L220" s="102" t="n">
        <v>867.02</v>
      </c>
      <c r="M220" s="103" t="n">
        <v>0.1673</v>
      </c>
      <c r="N220" s="104" t="n">
        <v>0.8326968757296429</v>
      </c>
      <c r="O220" s="105" t="inlineStr">
        <is>
          <t>Under</t>
        </is>
      </c>
      <c r="P220" s="69" t="inlineStr">
        <is>
          <t>On Track</t>
        </is>
      </c>
    </row>
    <row r="221" ht="16" customHeight="1">
      <c r="A221" s="106" t="inlineStr">
        <is>
          <t>CC-00220</t>
        </is>
      </c>
      <c r="B221" s="71" t="inlineStr">
        <is>
          <t>EVT-2025-020</t>
        </is>
      </c>
      <c r="C221" s="70" t="inlineStr">
        <is>
          <t>Cognivex Symposium Istanbul Mar 2025</t>
        </is>
      </c>
      <c r="D221" s="70" t="inlineStr">
        <is>
          <t>Neurology</t>
        </is>
      </c>
      <c r="E221" s="70" t="inlineStr">
        <is>
          <t>BU Neuroscience</t>
        </is>
      </c>
      <c r="F221" s="71" t="inlineStr">
        <is>
          <t>Miscellaneous</t>
        </is>
      </c>
      <c r="G221" s="71" t="inlineStr">
        <is>
          <t>Mar-2025</t>
        </is>
      </c>
      <c r="H221" s="71" t="inlineStr">
        <is>
          <t>Q1 2025</t>
        </is>
      </c>
      <c r="I221" s="73" t="n">
        <v>5182.33</v>
      </c>
      <c r="J221" s="73" t="n">
        <v>4887.13</v>
      </c>
      <c r="K221" s="73" t="n">
        <v>4774.39</v>
      </c>
      <c r="L221" s="80" t="n">
        <v>295.2</v>
      </c>
      <c r="M221" s="78" t="n">
        <v>0.057</v>
      </c>
      <c r="N221" s="107" t="n">
        <v>0.9430372052725319</v>
      </c>
      <c r="O221" s="108" t="inlineStr">
        <is>
          <t>Under</t>
        </is>
      </c>
      <c r="P221" s="69" t="inlineStr">
        <is>
          <t>On Track</t>
        </is>
      </c>
    </row>
    <row r="222" ht="16" customHeight="1">
      <c r="A222" s="98" t="inlineStr">
        <is>
          <t>CC-00221</t>
        </is>
      </c>
      <c r="B222" s="99" t="inlineStr">
        <is>
          <t>EVT-2025-021</t>
        </is>
      </c>
      <c r="C222" s="100" t="inlineStr">
        <is>
          <t>Influximab KOL Meeting Copenhagen Jul 2025</t>
        </is>
      </c>
      <c r="D222" s="100" t="inlineStr">
        <is>
          <t>Immunology</t>
        </is>
      </c>
      <c r="E222" s="100" t="inlineStr">
        <is>
          <t>BU Immunology</t>
        </is>
      </c>
      <c r="F222" s="99" t="inlineStr">
        <is>
          <t>Airfare</t>
        </is>
      </c>
      <c r="G222" s="99" t="inlineStr">
        <is>
          <t>Jul-2025</t>
        </is>
      </c>
      <c r="H222" s="99" t="inlineStr">
        <is>
          <t>Q3 2025</t>
        </is>
      </c>
      <c r="I222" s="101" t="n">
        <v>23669.77</v>
      </c>
      <c r="J222" s="101" t="n">
        <v>24708.89</v>
      </c>
      <c r="K222" s="101" t="n">
        <v>23002.8</v>
      </c>
      <c r="L222" s="109" t="n">
        <v>-1039.12</v>
      </c>
      <c r="M222" s="103" t="n">
        <v>-0.0439</v>
      </c>
      <c r="N222" s="104" t="n">
        <v>1.043900722313736</v>
      </c>
      <c r="O222" s="111" t="inlineStr">
        <is>
          <t>Over</t>
        </is>
      </c>
      <c r="P222" s="69" t="inlineStr">
        <is>
          <t>On Track</t>
        </is>
      </c>
    </row>
    <row r="223" ht="16" customHeight="1">
      <c r="A223" s="106" t="inlineStr">
        <is>
          <t>CC-00222</t>
        </is>
      </c>
      <c r="B223" s="71" t="inlineStr">
        <is>
          <t>EVT-2025-021</t>
        </is>
      </c>
      <c r="C223" s="70" t="inlineStr">
        <is>
          <t>Influximab KOL Meeting Copenhagen Jul 2025</t>
        </is>
      </c>
      <c r="D223" s="70" t="inlineStr">
        <is>
          <t>Immunology</t>
        </is>
      </c>
      <c r="E223" s="70" t="inlineStr">
        <is>
          <t>BU Immunology</t>
        </is>
      </c>
      <c r="F223" s="71" t="inlineStr">
        <is>
          <t>Hotel</t>
        </is>
      </c>
      <c r="G223" s="71" t="inlineStr">
        <is>
          <t>Jul-2025</t>
        </is>
      </c>
      <c r="H223" s="71" t="inlineStr">
        <is>
          <t>Q3 2025</t>
        </is>
      </c>
      <c r="I223" s="73" t="n">
        <v>42605.59</v>
      </c>
      <c r="J223" s="73" t="n">
        <v>40268.47</v>
      </c>
      <c r="K223" s="73" t="n">
        <v>35903.91</v>
      </c>
      <c r="L223" s="80" t="n">
        <v>2337.12</v>
      </c>
      <c r="M223" s="78" t="n">
        <v>0.0549</v>
      </c>
      <c r="N223" s="107" t="n">
        <v>0.9451452262484806</v>
      </c>
      <c r="O223" s="108" t="inlineStr">
        <is>
          <t>Under</t>
        </is>
      </c>
      <c r="P223" s="69" t="inlineStr">
        <is>
          <t>On Track</t>
        </is>
      </c>
    </row>
    <row r="224" ht="16" customHeight="1">
      <c r="A224" s="98" t="inlineStr">
        <is>
          <t>CC-00223</t>
        </is>
      </c>
      <c r="B224" s="99" t="inlineStr">
        <is>
          <t>EVT-2025-021</t>
        </is>
      </c>
      <c r="C224" s="100" t="inlineStr">
        <is>
          <t>Influximab KOL Meeting Copenhagen Jul 2025</t>
        </is>
      </c>
      <c r="D224" s="100" t="inlineStr">
        <is>
          <t>Immunology</t>
        </is>
      </c>
      <c r="E224" s="100" t="inlineStr">
        <is>
          <t>BU Immunology</t>
        </is>
      </c>
      <c r="F224" s="99" t="inlineStr">
        <is>
          <t>Venue</t>
        </is>
      </c>
      <c r="G224" s="99" t="inlineStr">
        <is>
          <t>Jul-2025</t>
        </is>
      </c>
      <c r="H224" s="99" t="inlineStr">
        <is>
          <t>Q3 2025</t>
        </is>
      </c>
      <c r="I224" s="101" t="n">
        <v>35504.66</v>
      </c>
      <c r="J224" s="101" t="n">
        <v>38001.27</v>
      </c>
      <c r="K224" s="101" t="n">
        <v>30791.03</v>
      </c>
      <c r="L224" s="109" t="n">
        <v>-2496.61</v>
      </c>
      <c r="M224" s="110" t="n">
        <v>-0.0703</v>
      </c>
      <c r="N224" s="104" t="n">
        <v>1.070317811802732</v>
      </c>
      <c r="O224" s="111" t="inlineStr">
        <is>
          <t>Over</t>
        </is>
      </c>
      <c r="P224" s="76" t="inlineStr">
        <is>
          <t>Watch</t>
        </is>
      </c>
    </row>
    <row r="225" ht="16" customHeight="1">
      <c r="A225" s="106" t="inlineStr">
        <is>
          <t>CC-00224</t>
        </is>
      </c>
      <c r="B225" s="71" t="inlineStr">
        <is>
          <t>EVT-2025-021</t>
        </is>
      </c>
      <c r="C225" s="70" t="inlineStr">
        <is>
          <t>Influximab KOL Meeting Copenhagen Jul 2025</t>
        </is>
      </c>
      <c r="D225" s="70" t="inlineStr">
        <is>
          <t>Immunology</t>
        </is>
      </c>
      <c r="E225" s="70" t="inlineStr">
        <is>
          <t>BU Immunology</t>
        </is>
      </c>
      <c r="F225" s="71" t="inlineStr">
        <is>
          <t>F&amp;B</t>
        </is>
      </c>
      <c r="G225" s="71" t="inlineStr">
        <is>
          <t>Jul-2025</t>
        </is>
      </c>
      <c r="H225" s="71" t="inlineStr">
        <is>
          <t>Q3 2025</t>
        </is>
      </c>
      <c r="I225" s="73" t="n">
        <v>28403.73</v>
      </c>
      <c r="J225" s="73" t="n">
        <v>20178.71</v>
      </c>
      <c r="K225" s="73" t="n">
        <v>19920.59</v>
      </c>
      <c r="L225" s="80" t="n">
        <v>8225.02</v>
      </c>
      <c r="M225" s="78" t="n">
        <v>0.2896</v>
      </c>
      <c r="N225" s="107" t="n">
        <v>0.710424651973526</v>
      </c>
      <c r="O225" s="108" t="inlineStr">
        <is>
          <t>Under</t>
        </is>
      </c>
      <c r="P225" s="69" t="inlineStr">
        <is>
          <t>On Track</t>
        </is>
      </c>
    </row>
    <row r="226" ht="16" customHeight="1">
      <c r="A226" s="98" t="inlineStr">
        <is>
          <t>CC-00225</t>
        </is>
      </c>
      <c r="B226" s="99" t="inlineStr">
        <is>
          <t>EVT-2025-021</t>
        </is>
      </c>
      <c r="C226" s="100" t="inlineStr">
        <is>
          <t>Influximab KOL Meeting Copenhagen Jul 2025</t>
        </is>
      </c>
      <c r="D226" s="100" t="inlineStr">
        <is>
          <t>Immunology</t>
        </is>
      </c>
      <c r="E226" s="100" t="inlineStr">
        <is>
          <t>BU Immunology</t>
        </is>
      </c>
      <c r="F226" s="99" t="inlineStr">
        <is>
          <t>Logistics</t>
        </is>
      </c>
      <c r="G226" s="99" t="inlineStr">
        <is>
          <t>Jul-2025</t>
        </is>
      </c>
      <c r="H226" s="99" t="inlineStr">
        <is>
          <t>Q3 2025</t>
        </is>
      </c>
      <c r="I226" s="101" t="n">
        <v>14201.86</v>
      </c>
      <c r="J226" s="101" t="n">
        <v>11916.65</v>
      </c>
      <c r="K226" s="101" t="n">
        <v>9968.200000000001</v>
      </c>
      <c r="L226" s="102" t="n">
        <v>2285.21</v>
      </c>
      <c r="M226" s="103" t="n">
        <v>0.1609</v>
      </c>
      <c r="N226" s="104" t="n">
        <v>0.8390907951493677</v>
      </c>
      <c r="O226" s="105" t="inlineStr">
        <is>
          <t>Under</t>
        </is>
      </c>
      <c r="P226" s="69" t="inlineStr">
        <is>
          <t>On Track</t>
        </is>
      </c>
    </row>
    <row r="227" ht="16" customHeight="1">
      <c r="A227" s="106" t="inlineStr">
        <is>
          <t>CC-00226</t>
        </is>
      </c>
      <c r="B227" s="71" t="inlineStr">
        <is>
          <t>EVT-2025-021</t>
        </is>
      </c>
      <c r="C227" s="70" t="inlineStr">
        <is>
          <t>Influximab KOL Meeting Copenhagen Jul 2025</t>
        </is>
      </c>
      <c r="D227" s="70" t="inlineStr">
        <is>
          <t>Immunology</t>
        </is>
      </c>
      <c r="E227" s="70" t="inlineStr">
        <is>
          <t>BU Immunology</t>
        </is>
      </c>
      <c r="F227" s="71" t="inlineStr">
        <is>
          <t>AV &amp; Technology</t>
        </is>
      </c>
      <c r="G227" s="71" t="inlineStr">
        <is>
          <t>Jul-2025</t>
        </is>
      </c>
      <c r="H227" s="71" t="inlineStr">
        <is>
          <t>Q3 2025</t>
        </is>
      </c>
      <c r="I227" s="73" t="n">
        <v>18935.82</v>
      </c>
      <c r="J227" s="73" t="n">
        <v>20723.72</v>
      </c>
      <c r="K227" s="73" t="n">
        <v>16829.47</v>
      </c>
      <c r="L227" s="74" t="n">
        <v>-1787.9</v>
      </c>
      <c r="M227" s="75" t="n">
        <v>-0.0944</v>
      </c>
      <c r="N227" s="107" t="n">
        <v>1.094418937231131</v>
      </c>
      <c r="O227" s="112" t="inlineStr">
        <is>
          <t>Over</t>
        </is>
      </c>
      <c r="P227" s="76" t="inlineStr">
        <is>
          <t>Watch</t>
        </is>
      </c>
    </row>
    <row r="228" ht="16" customHeight="1">
      <c r="A228" s="98" t="inlineStr">
        <is>
          <t>CC-00227</t>
        </is>
      </c>
      <c r="B228" s="99" t="inlineStr">
        <is>
          <t>EVT-2025-021</t>
        </is>
      </c>
      <c r="C228" s="100" t="inlineStr">
        <is>
          <t>Influximab KOL Meeting Copenhagen Jul 2025</t>
        </is>
      </c>
      <c r="D228" s="100" t="inlineStr">
        <is>
          <t>Immunology</t>
        </is>
      </c>
      <c r="E228" s="100" t="inlineStr">
        <is>
          <t>BU Immunology</t>
        </is>
      </c>
      <c r="F228" s="99" t="inlineStr">
        <is>
          <t>Agency Fees</t>
        </is>
      </c>
      <c r="G228" s="99" t="inlineStr">
        <is>
          <t>Jul-2025</t>
        </is>
      </c>
      <c r="H228" s="99" t="inlineStr">
        <is>
          <t>Q3 2025</t>
        </is>
      </c>
      <c r="I228" s="101" t="n">
        <v>33137.68</v>
      </c>
      <c r="J228" s="101" t="n">
        <v>31512.95</v>
      </c>
      <c r="K228" s="101" t="n">
        <v>30688.54</v>
      </c>
      <c r="L228" s="102" t="n">
        <v>1624.73</v>
      </c>
      <c r="M228" s="103" t="n">
        <v>0.049</v>
      </c>
      <c r="N228" s="104" t="n">
        <v>0.950970315363055</v>
      </c>
      <c r="O228" s="105" t="inlineStr">
        <is>
          <t>Under</t>
        </is>
      </c>
      <c r="P228" s="69" t="inlineStr">
        <is>
          <t>On Track</t>
        </is>
      </c>
    </row>
    <row r="229" ht="16" customHeight="1">
      <c r="A229" s="106" t="inlineStr">
        <is>
          <t>CC-00228</t>
        </is>
      </c>
      <c r="B229" s="71" t="inlineStr">
        <is>
          <t>EVT-2025-021</t>
        </is>
      </c>
      <c r="C229" s="70" t="inlineStr">
        <is>
          <t>Influximab KOL Meeting Copenhagen Jul 2025</t>
        </is>
      </c>
      <c r="D229" s="70" t="inlineStr">
        <is>
          <t>Immunology</t>
        </is>
      </c>
      <c r="E229" s="70" t="inlineStr">
        <is>
          <t>BU Immunology</t>
        </is>
      </c>
      <c r="F229" s="71" t="inlineStr">
        <is>
          <t>Speaker Fees</t>
        </is>
      </c>
      <c r="G229" s="71" t="inlineStr">
        <is>
          <t>Jul-2025</t>
        </is>
      </c>
      <c r="H229" s="71" t="inlineStr">
        <is>
          <t>Q3 2025</t>
        </is>
      </c>
      <c r="I229" s="73" t="n">
        <v>23669.77</v>
      </c>
      <c r="J229" s="73" t="n">
        <v>23165.02</v>
      </c>
      <c r="K229" s="73" t="n">
        <v>21788.98</v>
      </c>
      <c r="L229" s="80" t="n">
        <v>504.75</v>
      </c>
      <c r="M229" s="78" t="n">
        <v>0.0213</v>
      </c>
      <c r="N229" s="107" t="n">
        <v>0.9786753314459752</v>
      </c>
      <c r="O229" s="108" t="inlineStr">
        <is>
          <t>Under</t>
        </is>
      </c>
      <c r="P229" s="69" t="inlineStr">
        <is>
          <t>On Track</t>
        </is>
      </c>
    </row>
    <row r="230" ht="16" customHeight="1">
      <c r="A230" s="98" t="inlineStr">
        <is>
          <t>CC-00229</t>
        </is>
      </c>
      <c r="B230" s="99" t="inlineStr">
        <is>
          <t>EVT-2025-021</t>
        </is>
      </c>
      <c r="C230" s="100" t="inlineStr">
        <is>
          <t>Influximab KOL Meeting Copenhagen Jul 2025</t>
        </is>
      </c>
      <c r="D230" s="100" t="inlineStr">
        <is>
          <t>Immunology</t>
        </is>
      </c>
      <c r="E230" s="100" t="inlineStr">
        <is>
          <t>BU Immunology</t>
        </is>
      </c>
      <c r="F230" s="99" t="inlineStr">
        <is>
          <t>Translation</t>
        </is>
      </c>
      <c r="G230" s="99" t="inlineStr">
        <is>
          <t>Jul-2025</t>
        </is>
      </c>
      <c r="H230" s="99" t="inlineStr">
        <is>
          <t>Q3 2025</t>
        </is>
      </c>
      <c r="I230" s="101" t="n">
        <v>7100.93</v>
      </c>
      <c r="J230" s="101" t="n">
        <v>7191.83</v>
      </c>
      <c r="K230" s="101" t="n">
        <v>6678.03</v>
      </c>
      <c r="L230" s="109" t="n">
        <v>-90.90000000000001</v>
      </c>
      <c r="M230" s="103" t="n">
        <v>-0.0128</v>
      </c>
      <c r="N230" s="104" t="n">
        <v>1.012801140132349</v>
      </c>
      <c r="O230" s="111" t="inlineStr">
        <is>
          <t>Over</t>
        </is>
      </c>
      <c r="P230" s="69" t="inlineStr">
        <is>
          <t>On Track</t>
        </is>
      </c>
    </row>
    <row r="231" ht="16" customHeight="1">
      <c r="A231" s="106" t="inlineStr">
        <is>
          <t>CC-00230</t>
        </is>
      </c>
      <c r="B231" s="71" t="inlineStr">
        <is>
          <t>EVT-2025-021</t>
        </is>
      </c>
      <c r="C231" s="70" t="inlineStr">
        <is>
          <t>Influximab KOL Meeting Copenhagen Jul 2025</t>
        </is>
      </c>
      <c r="D231" s="70" t="inlineStr">
        <is>
          <t>Immunology</t>
        </is>
      </c>
      <c r="E231" s="70" t="inlineStr">
        <is>
          <t>BU Immunology</t>
        </is>
      </c>
      <c r="F231" s="71" t="inlineStr">
        <is>
          <t>Print &amp; Production</t>
        </is>
      </c>
      <c r="G231" s="71" t="inlineStr">
        <is>
          <t>Jul-2025</t>
        </is>
      </c>
      <c r="H231" s="71" t="inlineStr">
        <is>
          <t>Q3 2025</t>
        </is>
      </c>
      <c r="I231" s="73" t="n">
        <v>4733.95</v>
      </c>
      <c r="J231" s="73" t="n">
        <v>4450.72</v>
      </c>
      <c r="K231" s="73" t="n">
        <v>3911.05</v>
      </c>
      <c r="L231" s="80" t="n">
        <v>283.23</v>
      </c>
      <c r="M231" s="78" t="n">
        <v>0.0598</v>
      </c>
      <c r="N231" s="107" t="n">
        <v>0.9401704707485293</v>
      </c>
      <c r="O231" s="108" t="inlineStr">
        <is>
          <t>Under</t>
        </is>
      </c>
      <c r="P231" s="69" t="inlineStr">
        <is>
          <t>On Track</t>
        </is>
      </c>
    </row>
    <row r="232" ht="16" customHeight="1">
      <c r="A232" s="98" t="inlineStr">
        <is>
          <t>CC-00231</t>
        </is>
      </c>
      <c r="B232" s="99" t="inlineStr">
        <is>
          <t>EVT-2025-021</t>
        </is>
      </c>
      <c r="C232" s="100" t="inlineStr">
        <is>
          <t>Influximab KOL Meeting Copenhagen Jul 2025</t>
        </is>
      </c>
      <c r="D232" s="100" t="inlineStr">
        <is>
          <t>Immunology</t>
        </is>
      </c>
      <c r="E232" s="100" t="inlineStr">
        <is>
          <t>BU Immunology</t>
        </is>
      </c>
      <c r="F232" s="99" t="inlineStr">
        <is>
          <t>Miscellaneous</t>
        </is>
      </c>
      <c r="G232" s="99" t="inlineStr">
        <is>
          <t>Jul-2025</t>
        </is>
      </c>
      <c r="H232" s="99" t="inlineStr">
        <is>
          <t>Q3 2025</t>
        </is>
      </c>
      <c r="I232" s="101" t="n">
        <v>4733.95</v>
      </c>
      <c r="J232" s="101" t="n">
        <v>4704.06</v>
      </c>
      <c r="K232" s="101" t="n">
        <v>4034.45</v>
      </c>
      <c r="L232" s="102" t="n">
        <v>29.89</v>
      </c>
      <c r="M232" s="103" t="n">
        <v>0.0063</v>
      </c>
      <c r="N232" s="104" t="n">
        <v>0.9936860338617858</v>
      </c>
      <c r="O232" s="105" t="inlineStr">
        <is>
          <t>Under</t>
        </is>
      </c>
      <c r="P232" s="69" t="inlineStr">
        <is>
          <t>On Track</t>
        </is>
      </c>
    </row>
    <row r="233" ht="16" customHeight="1">
      <c r="A233" s="106" t="inlineStr">
        <is>
          <t>CC-00232</t>
        </is>
      </c>
      <c r="B233" s="71" t="inlineStr">
        <is>
          <t>EVT-2025-022</t>
        </is>
      </c>
      <c r="C233" s="70" t="inlineStr">
        <is>
          <t>Imunexal Advisory Board Stockholm Jan 2025</t>
        </is>
      </c>
      <c r="D233" s="70" t="inlineStr">
        <is>
          <t>Immunology</t>
        </is>
      </c>
      <c r="E233" s="70" t="inlineStr">
        <is>
          <t>BU Immunology</t>
        </is>
      </c>
      <c r="F233" s="71" t="inlineStr">
        <is>
          <t>Airfare</t>
        </is>
      </c>
      <c r="G233" s="71" t="inlineStr">
        <is>
          <t>Jan-2025</t>
        </is>
      </c>
      <c r="H233" s="71" t="inlineStr">
        <is>
          <t>Q1 2025</t>
        </is>
      </c>
      <c r="I233" s="73" t="n">
        <v>4967.1</v>
      </c>
      <c r="J233" s="73" t="n">
        <v>4292</v>
      </c>
      <c r="K233" s="73" t="n">
        <v>3470.23</v>
      </c>
      <c r="L233" s="80" t="n">
        <v>675.1</v>
      </c>
      <c r="M233" s="78" t="n">
        <v>0.1359</v>
      </c>
      <c r="N233" s="107" t="n">
        <v>0.8640856837994</v>
      </c>
      <c r="O233" s="108" t="inlineStr">
        <is>
          <t>Under</t>
        </is>
      </c>
      <c r="P233" s="69" t="inlineStr">
        <is>
          <t>On Track</t>
        </is>
      </c>
    </row>
    <row r="234" ht="16" customHeight="1">
      <c r="A234" s="98" t="inlineStr">
        <is>
          <t>CC-00233</t>
        </is>
      </c>
      <c r="B234" s="99" t="inlineStr">
        <is>
          <t>EVT-2025-022</t>
        </is>
      </c>
      <c r="C234" s="100" t="inlineStr">
        <is>
          <t>Imunexal Advisory Board Stockholm Jan 2025</t>
        </is>
      </c>
      <c r="D234" s="100" t="inlineStr">
        <is>
          <t>Immunology</t>
        </is>
      </c>
      <c r="E234" s="100" t="inlineStr">
        <is>
          <t>BU Immunology</t>
        </is>
      </c>
      <c r="F234" s="99" t="inlineStr">
        <is>
          <t>Hotel</t>
        </is>
      </c>
      <c r="G234" s="99" t="inlineStr">
        <is>
          <t>Jan-2025</t>
        </is>
      </c>
      <c r="H234" s="99" t="inlineStr">
        <is>
          <t>Q1 2025</t>
        </is>
      </c>
      <c r="I234" s="101" t="n">
        <v>8940.77</v>
      </c>
      <c r="J234" s="101" t="n">
        <v>9464.9</v>
      </c>
      <c r="K234" s="101" t="n">
        <v>6944.04</v>
      </c>
      <c r="L234" s="109" t="n">
        <v>-524.13</v>
      </c>
      <c r="M234" s="110" t="n">
        <v>-0.0586</v>
      </c>
      <c r="N234" s="104" t="n">
        <v>1.058622467639812</v>
      </c>
      <c r="O234" s="111" t="inlineStr">
        <is>
          <t>Over</t>
        </is>
      </c>
      <c r="P234" s="76" t="inlineStr">
        <is>
          <t>Watch</t>
        </is>
      </c>
    </row>
    <row r="235" ht="16" customHeight="1">
      <c r="A235" s="106" t="inlineStr">
        <is>
          <t>CC-00234</t>
        </is>
      </c>
      <c r="B235" s="71" t="inlineStr">
        <is>
          <t>EVT-2025-022</t>
        </is>
      </c>
      <c r="C235" s="70" t="inlineStr">
        <is>
          <t>Imunexal Advisory Board Stockholm Jan 2025</t>
        </is>
      </c>
      <c r="D235" s="70" t="inlineStr">
        <is>
          <t>Immunology</t>
        </is>
      </c>
      <c r="E235" s="70" t="inlineStr">
        <is>
          <t>BU Immunology</t>
        </is>
      </c>
      <c r="F235" s="71" t="inlineStr">
        <is>
          <t>Venue</t>
        </is>
      </c>
      <c r="G235" s="71" t="inlineStr">
        <is>
          <t>Jan-2025</t>
        </is>
      </c>
      <c r="H235" s="71" t="inlineStr">
        <is>
          <t>Q1 2025</t>
        </is>
      </c>
      <c r="I235" s="73" t="n">
        <v>7450.64</v>
      </c>
      <c r="J235" s="73" t="n">
        <v>7557.83</v>
      </c>
      <c r="K235" s="73" t="n">
        <v>7337.64</v>
      </c>
      <c r="L235" s="74" t="n">
        <v>-107.19</v>
      </c>
      <c r="M235" s="78" t="n">
        <v>-0.0144</v>
      </c>
      <c r="N235" s="107" t="n">
        <v>1.01438668356007</v>
      </c>
      <c r="O235" s="112" t="inlineStr">
        <is>
          <t>Over</t>
        </is>
      </c>
      <c r="P235" s="69" t="inlineStr">
        <is>
          <t>On Track</t>
        </is>
      </c>
    </row>
    <row r="236" ht="16" customHeight="1">
      <c r="A236" s="98" t="inlineStr">
        <is>
          <t>CC-00235</t>
        </is>
      </c>
      <c r="B236" s="99" t="inlineStr">
        <is>
          <t>EVT-2025-022</t>
        </is>
      </c>
      <c r="C236" s="100" t="inlineStr">
        <is>
          <t>Imunexal Advisory Board Stockholm Jan 2025</t>
        </is>
      </c>
      <c r="D236" s="100" t="inlineStr">
        <is>
          <t>Immunology</t>
        </is>
      </c>
      <c r="E236" s="100" t="inlineStr">
        <is>
          <t>BU Immunology</t>
        </is>
      </c>
      <c r="F236" s="99" t="inlineStr">
        <is>
          <t>F&amp;B</t>
        </is>
      </c>
      <c r="G236" s="99" t="inlineStr">
        <is>
          <t>Jan-2025</t>
        </is>
      </c>
      <c r="H236" s="99" t="inlineStr">
        <is>
          <t>Q1 2025</t>
        </is>
      </c>
      <c r="I236" s="101" t="n">
        <v>5960.51</v>
      </c>
      <c r="J236" s="101" t="n">
        <v>4178.78</v>
      </c>
      <c r="K236" s="101" t="n">
        <v>3597.92</v>
      </c>
      <c r="L236" s="102" t="n">
        <v>1781.73</v>
      </c>
      <c r="M236" s="103" t="n">
        <v>0.2989</v>
      </c>
      <c r="N236" s="104" t="n">
        <v>0.7010775923536744</v>
      </c>
      <c r="O236" s="105" t="inlineStr">
        <is>
          <t>Under</t>
        </is>
      </c>
      <c r="P236" s="69" t="inlineStr">
        <is>
          <t>On Track</t>
        </is>
      </c>
    </row>
    <row r="237" ht="16" customHeight="1">
      <c r="A237" s="106" t="inlineStr">
        <is>
          <t>CC-00236</t>
        </is>
      </c>
      <c r="B237" s="71" t="inlineStr">
        <is>
          <t>EVT-2025-022</t>
        </is>
      </c>
      <c r="C237" s="70" t="inlineStr">
        <is>
          <t>Imunexal Advisory Board Stockholm Jan 2025</t>
        </is>
      </c>
      <c r="D237" s="70" t="inlineStr">
        <is>
          <t>Immunology</t>
        </is>
      </c>
      <c r="E237" s="70" t="inlineStr">
        <is>
          <t>BU Immunology</t>
        </is>
      </c>
      <c r="F237" s="71" t="inlineStr">
        <is>
          <t>Logistics</t>
        </is>
      </c>
      <c r="G237" s="71" t="inlineStr">
        <is>
          <t>Jan-2025</t>
        </is>
      </c>
      <c r="H237" s="71" t="inlineStr">
        <is>
          <t>Q1 2025</t>
        </is>
      </c>
      <c r="I237" s="73" t="n">
        <v>2980.26</v>
      </c>
      <c r="J237" s="73" t="n">
        <v>2033.34</v>
      </c>
      <c r="K237" s="73" t="n">
        <v>1944.58</v>
      </c>
      <c r="L237" s="80" t="n">
        <v>946.92</v>
      </c>
      <c r="M237" s="78" t="n">
        <v>0.3177</v>
      </c>
      <c r="N237" s="107" t="n">
        <v>0.6822693322059148</v>
      </c>
      <c r="O237" s="108" t="inlineStr">
        <is>
          <t>Under</t>
        </is>
      </c>
      <c r="P237" s="69" t="inlineStr">
        <is>
          <t>On Track</t>
        </is>
      </c>
    </row>
    <row r="238" ht="16" customHeight="1">
      <c r="A238" s="98" t="inlineStr">
        <is>
          <t>CC-00237</t>
        </is>
      </c>
      <c r="B238" s="99" t="inlineStr">
        <is>
          <t>EVT-2025-022</t>
        </is>
      </c>
      <c r="C238" s="100" t="inlineStr">
        <is>
          <t>Imunexal Advisory Board Stockholm Jan 2025</t>
        </is>
      </c>
      <c r="D238" s="100" t="inlineStr">
        <is>
          <t>Immunology</t>
        </is>
      </c>
      <c r="E238" s="100" t="inlineStr">
        <is>
          <t>BU Immunology</t>
        </is>
      </c>
      <c r="F238" s="99" t="inlineStr">
        <is>
          <t>AV &amp; Technology</t>
        </is>
      </c>
      <c r="G238" s="99" t="inlineStr">
        <is>
          <t>Jan-2025</t>
        </is>
      </c>
      <c r="H238" s="99" t="inlineStr">
        <is>
          <t>Q1 2025</t>
        </is>
      </c>
      <c r="I238" s="101" t="n">
        <v>3973.68</v>
      </c>
      <c r="J238" s="101" t="n">
        <v>3262.07</v>
      </c>
      <c r="K238" s="101" t="n">
        <v>2949.2</v>
      </c>
      <c r="L238" s="102" t="n">
        <v>711.61</v>
      </c>
      <c r="M238" s="103" t="n">
        <v>0.1791</v>
      </c>
      <c r="N238" s="104" t="n">
        <v>0.8209191479937993</v>
      </c>
      <c r="O238" s="105" t="inlineStr">
        <is>
          <t>Under</t>
        </is>
      </c>
      <c r="P238" s="69" t="inlineStr">
        <is>
          <t>On Track</t>
        </is>
      </c>
    </row>
    <row r="239" ht="16" customHeight="1">
      <c r="A239" s="106" t="inlineStr">
        <is>
          <t>CC-00238</t>
        </is>
      </c>
      <c r="B239" s="71" t="inlineStr">
        <is>
          <t>EVT-2025-022</t>
        </is>
      </c>
      <c r="C239" s="70" t="inlineStr">
        <is>
          <t>Imunexal Advisory Board Stockholm Jan 2025</t>
        </is>
      </c>
      <c r="D239" s="70" t="inlineStr">
        <is>
          <t>Immunology</t>
        </is>
      </c>
      <c r="E239" s="70" t="inlineStr">
        <is>
          <t>BU Immunology</t>
        </is>
      </c>
      <c r="F239" s="71" t="inlineStr">
        <is>
          <t>Agency Fees</t>
        </is>
      </c>
      <c r="G239" s="71" t="inlineStr">
        <is>
          <t>Jan-2025</t>
        </is>
      </c>
      <c r="H239" s="71" t="inlineStr">
        <is>
          <t>Q1 2025</t>
        </is>
      </c>
      <c r="I239" s="73" t="n">
        <v>6953.93</v>
      </c>
      <c r="J239" s="73" t="n">
        <v>6665.06</v>
      </c>
      <c r="K239" s="73" t="n">
        <v>5642.96</v>
      </c>
      <c r="L239" s="80" t="n">
        <v>288.87</v>
      </c>
      <c r="M239" s="78" t="n">
        <v>0.0415</v>
      </c>
      <c r="N239" s="107" t="n">
        <v>0.9584594610529585</v>
      </c>
      <c r="O239" s="108" t="inlineStr">
        <is>
          <t>Under</t>
        </is>
      </c>
      <c r="P239" s="69" t="inlineStr">
        <is>
          <t>On Track</t>
        </is>
      </c>
    </row>
    <row r="240" ht="16" customHeight="1">
      <c r="A240" s="98" t="inlineStr">
        <is>
          <t>CC-00239</t>
        </is>
      </c>
      <c r="B240" s="99" t="inlineStr">
        <is>
          <t>EVT-2025-022</t>
        </is>
      </c>
      <c r="C240" s="100" t="inlineStr">
        <is>
          <t>Imunexal Advisory Board Stockholm Jan 2025</t>
        </is>
      </c>
      <c r="D240" s="100" t="inlineStr">
        <is>
          <t>Immunology</t>
        </is>
      </c>
      <c r="E240" s="100" t="inlineStr">
        <is>
          <t>BU Immunology</t>
        </is>
      </c>
      <c r="F240" s="99" t="inlineStr">
        <is>
          <t>Speaker Fees</t>
        </is>
      </c>
      <c r="G240" s="99" t="inlineStr">
        <is>
          <t>Jan-2025</t>
        </is>
      </c>
      <c r="H240" s="99" t="inlineStr">
        <is>
          <t>Q1 2025</t>
        </is>
      </c>
      <c r="I240" s="101" t="n">
        <v>4967.1</v>
      </c>
      <c r="J240" s="101" t="n">
        <v>5212.7</v>
      </c>
      <c r="K240" s="101" t="n">
        <v>4345.54</v>
      </c>
      <c r="L240" s="109" t="n">
        <v>-245.6</v>
      </c>
      <c r="M240" s="103" t="n">
        <v>-0.0494</v>
      </c>
      <c r="N240" s="104" t="n">
        <v>1.049445350405669</v>
      </c>
      <c r="O240" s="111" t="inlineStr">
        <is>
          <t>Over</t>
        </is>
      </c>
      <c r="P240" s="69" t="inlineStr">
        <is>
          <t>On Track</t>
        </is>
      </c>
    </row>
    <row r="241" ht="16" customHeight="1">
      <c r="A241" s="106" t="inlineStr">
        <is>
          <t>CC-00240</t>
        </is>
      </c>
      <c r="B241" s="71" t="inlineStr">
        <is>
          <t>EVT-2025-022</t>
        </is>
      </c>
      <c r="C241" s="70" t="inlineStr">
        <is>
          <t>Imunexal Advisory Board Stockholm Jan 2025</t>
        </is>
      </c>
      <c r="D241" s="70" t="inlineStr">
        <is>
          <t>Immunology</t>
        </is>
      </c>
      <c r="E241" s="70" t="inlineStr">
        <is>
          <t>BU Immunology</t>
        </is>
      </c>
      <c r="F241" s="71" t="inlineStr">
        <is>
          <t>Translation</t>
        </is>
      </c>
      <c r="G241" s="71" t="inlineStr">
        <is>
          <t>Jan-2025</t>
        </is>
      </c>
      <c r="H241" s="71" t="inlineStr">
        <is>
          <t>Q1 2025</t>
        </is>
      </c>
      <c r="I241" s="73" t="n">
        <v>1490.13</v>
      </c>
      <c r="J241" s="73" t="n">
        <v>935.53</v>
      </c>
      <c r="K241" s="73" t="n">
        <v>691.9</v>
      </c>
      <c r="L241" s="80" t="n">
        <v>554.6</v>
      </c>
      <c r="M241" s="78" t="n">
        <v>0.3722</v>
      </c>
      <c r="N241" s="107" t="n">
        <v>0.6278177071799104</v>
      </c>
      <c r="O241" s="108" t="inlineStr">
        <is>
          <t>Under</t>
        </is>
      </c>
      <c r="P241" s="69" t="inlineStr">
        <is>
          <t>On Track</t>
        </is>
      </c>
    </row>
    <row r="242" ht="16" customHeight="1">
      <c r="A242" s="98" t="inlineStr">
        <is>
          <t>CC-00241</t>
        </is>
      </c>
      <c r="B242" s="99" t="inlineStr">
        <is>
          <t>EVT-2025-022</t>
        </is>
      </c>
      <c r="C242" s="100" t="inlineStr">
        <is>
          <t>Imunexal Advisory Board Stockholm Jan 2025</t>
        </is>
      </c>
      <c r="D242" s="100" t="inlineStr">
        <is>
          <t>Immunology</t>
        </is>
      </c>
      <c r="E242" s="100" t="inlineStr">
        <is>
          <t>BU Immunology</t>
        </is>
      </c>
      <c r="F242" s="99" t="inlineStr">
        <is>
          <t>Print &amp; Production</t>
        </is>
      </c>
      <c r="G242" s="99" t="inlineStr">
        <is>
          <t>Jan-2025</t>
        </is>
      </c>
      <c r="H242" s="99" t="inlineStr">
        <is>
          <t>Q1 2025</t>
        </is>
      </c>
      <c r="I242" s="101" t="n">
        <v>993.42</v>
      </c>
      <c r="J242" s="101" t="n">
        <v>802.4</v>
      </c>
      <c r="K242" s="101" t="n">
        <v>697.42</v>
      </c>
      <c r="L242" s="102" t="n">
        <v>191.02</v>
      </c>
      <c r="M242" s="103" t="n">
        <v>0.1923</v>
      </c>
      <c r="N242" s="104" t="n">
        <v>0.8077147631414708</v>
      </c>
      <c r="O242" s="105" t="inlineStr">
        <is>
          <t>Under</t>
        </is>
      </c>
      <c r="P242" s="69" t="inlineStr">
        <is>
          <t>On Track</t>
        </is>
      </c>
    </row>
    <row r="243" ht="16" customHeight="1">
      <c r="A243" s="106" t="inlineStr">
        <is>
          <t>CC-00242</t>
        </is>
      </c>
      <c r="B243" s="71" t="inlineStr">
        <is>
          <t>EVT-2025-022</t>
        </is>
      </c>
      <c r="C243" s="70" t="inlineStr">
        <is>
          <t>Imunexal Advisory Board Stockholm Jan 2025</t>
        </is>
      </c>
      <c r="D243" s="70" t="inlineStr">
        <is>
          <t>Immunology</t>
        </is>
      </c>
      <c r="E243" s="70" t="inlineStr">
        <is>
          <t>BU Immunology</t>
        </is>
      </c>
      <c r="F243" s="71" t="inlineStr">
        <is>
          <t>Miscellaneous</t>
        </is>
      </c>
      <c r="G243" s="71" t="inlineStr">
        <is>
          <t>Jan-2025</t>
        </is>
      </c>
      <c r="H243" s="71" t="inlineStr">
        <is>
          <t>Q1 2025</t>
        </is>
      </c>
      <c r="I243" s="73" t="n">
        <v>993.42</v>
      </c>
      <c r="J243" s="73" t="n">
        <v>873.61</v>
      </c>
      <c r="K243" s="73" t="n">
        <v>787.85</v>
      </c>
      <c r="L243" s="80" t="n">
        <v>119.81</v>
      </c>
      <c r="M243" s="78" t="n">
        <v>0.1206</v>
      </c>
      <c r="N243" s="107" t="n">
        <v>0.8793964284995269</v>
      </c>
      <c r="O243" s="108" t="inlineStr">
        <is>
          <t>Under</t>
        </is>
      </c>
      <c r="P243" s="69" t="inlineStr">
        <is>
          <t>On Track</t>
        </is>
      </c>
    </row>
    <row r="244" ht="16" customHeight="1">
      <c r="A244" s="98" t="inlineStr">
        <is>
          <t>CC-00243</t>
        </is>
      </c>
      <c r="B244" s="99" t="inlineStr">
        <is>
          <t>EVT-2025-023</t>
        </is>
      </c>
      <c r="C244" s="100" t="inlineStr">
        <is>
          <t>Nexolimab Advisory Board Barcelona Jun 2025</t>
        </is>
      </c>
      <c r="D244" s="100" t="inlineStr">
        <is>
          <t>Oncology</t>
        </is>
      </c>
      <c r="E244" s="100" t="inlineStr">
        <is>
          <t>BU Oncology</t>
        </is>
      </c>
      <c r="F244" s="99" t="inlineStr">
        <is>
          <t>Airfare</t>
        </is>
      </c>
      <c r="G244" s="99" t="inlineStr">
        <is>
          <t>Jun-2025</t>
        </is>
      </c>
      <c r="H244" s="99" t="inlineStr">
        <is>
          <t>Q2 2025</t>
        </is>
      </c>
      <c r="I244" s="101" t="n">
        <v>33267.38</v>
      </c>
      <c r="J244" s="101" t="n">
        <v>25086.42</v>
      </c>
      <c r="K244" s="101" t="n">
        <v>17724.34</v>
      </c>
      <c r="L244" s="102" t="n">
        <v>8180.96</v>
      </c>
      <c r="M244" s="103" t="n">
        <v>0.2459</v>
      </c>
      <c r="N244" s="104" t="n">
        <v>0.7540846318525836</v>
      </c>
      <c r="O244" s="105" t="inlineStr">
        <is>
          <t>Under</t>
        </is>
      </c>
      <c r="P244" s="69" t="inlineStr">
        <is>
          <t>On Track</t>
        </is>
      </c>
    </row>
    <row r="245" ht="16" customHeight="1">
      <c r="A245" s="106" t="inlineStr">
        <is>
          <t>CC-00244</t>
        </is>
      </c>
      <c r="B245" s="71" t="inlineStr">
        <is>
          <t>EVT-2025-023</t>
        </is>
      </c>
      <c r="C245" s="70" t="inlineStr">
        <is>
          <t>Nexolimab Advisory Board Barcelona Jun 2025</t>
        </is>
      </c>
      <c r="D245" s="70" t="inlineStr">
        <is>
          <t>Oncology</t>
        </is>
      </c>
      <c r="E245" s="70" t="inlineStr">
        <is>
          <t>BU Oncology</t>
        </is>
      </c>
      <c r="F245" s="71" t="inlineStr">
        <is>
          <t>Hotel</t>
        </is>
      </c>
      <c r="G245" s="71" t="inlineStr">
        <is>
          <t>Jun-2025</t>
        </is>
      </c>
      <c r="H245" s="71" t="inlineStr">
        <is>
          <t>Q2 2025</t>
        </is>
      </c>
      <c r="I245" s="73" t="n">
        <v>59881.29</v>
      </c>
      <c r="J245" s="73" t="n">
        <v>43547.39</v>
      </c>
      <c r="K245" s="73" t="n">
        <v>30522.57</v>
      </c>
      <c r="L245" s="80" t="n">
        <v>16333.9</v>
      </c>
      <c r="M245" s="78" t="n">
        <v>0.2728</v>
      </c>
      <c r="N245" s="107" t="n">
        <v>0.7272286552277013</v>
      </c>
      <c r="O245" s="108" t="inlineStr">
        <is>
          <t>Under</t>
        </is>
      </c>
      <c r="P245" s="69" t="inlineStr">
        <is>
          <t>On Track</t>
        </is>
      </c>
    </row>
    <row r="246" ht="16" customHeight="1">
      <c r="A246" s="98" t="inlineStr">
        <is>
          <t>CC-00245</t>
        </is>
      </c>
      <c r="B246" s="99" t="inlineStr">
        <is>
          <t>EVT-2025-023</t>
        </is>
      </c>
      <c r="C246" s="100" t="inlineStr">
        <is>
          <t>Nexolimab Advisory Board Barcelona Jun 2025</t>
        </is>
      </c>
      <c r="D246" s="100" t="inlineStr">
        <is>
          <t>Oncology</t>
        </is>
      </c>
      <c r="E246" s="100" t="inlineStr">
        <is>
          <t>BU Oncology</t>
        </is>
      </c>
      <c r="F246" s="99" t="inlineStr">
        <is>
          <t>Venue</t>
        </is>
      </c>
      <c r="G246" s="99" t="inlineStr">
        <is>
          <t>Jun-2025</t>
        </is>
      </c>
      <c r="H246" s="99" t="inlineStr">
        <is>
          <t>Q2 2025</t>
        </is>
      </c>
      <c r="I246" s="101" t="n">
        <v>49901.07</v>
      </c>
      <c r="J246" s="101" t="n">
        <v>35377.4</v>
      </c>
      <c r="K246" s="101" t="n">
        <v>25539.26</v>
      </c>
      <c r="L246" s="102" t="n">
        <v>14523.67</v>
      </c>
      <c r="M246" s="103" t="n">
        <v>0.291</v>
      </c>
      <c r="N246" s="104" t="n">
        <v>0.7089507299142083</v>
      </c>
      <c r="O246" s="105" t="inlineStr">
        <is>
          <t>Under</t>
        </is>
      </c>
      <c r="P246" s="69" t="inlineStr">
        <is>
          <t>On Track</t>
        </is>
      </c>
    </row>
    <row r="247" ht="16" customHeight="1">
      <c r="A247" s="106" t="inlineStr">
        <is>
          <t>CC-00246</t>
        </is>
      </c>
      <c r="B247" s="71" t="inlineStr">
        <is>
          <t>EVT-2025-023</t>
        </is>
      </c>
      <c r="C247" s="70" t="inlineStr">
        <is>
          <t>Nexolimab Advisory Board Barcelona Jun 2025</t>
        </is>
      </c>
      <c r="D247" s="70" t="inlineStr">
        <is>
          <t>Oncology</t>
        </is>
      </c>
      <c r="E247" s="70" t="inlineStr">
        <is>
          <t>BU Oncology</t>
        </is>
      </c>
      <c r="F247" s="71" t="inlineStr">
        <is>
          <t>F&amp;B</t>
        </is>
      </c>
      <c r="G247" s="71" t="inlineStr">
        <is>
          <t>Jun-2025</t>
        </is>
      </c>
      <c r="H247" s="71" t="inlineStr">
        <is>
          <t>Q2 2025</t>
        </is>
      </c>
      <c r="I247" s="73" t="n">
        <v>39920.86</v>
      </c>
      <c r="J247" s="73" t="n">
        <v>32409.7</v>
      </c>
      <c r="K247" s="73" t="n">
        <v>29496.57</v>
      </c>
      <c r="L247" s="80" t="n">
        <v>7511.16</v>
      </c>
      <c r="M247" s="78" t="n">
        <v>0.1882</v>
      </c>
      <c r="N247" s="107" t="n">
        <v>0.8118487427375062</v>
      </c>
      <c r="O247" s="108" t="inlineStr">
        <is>
          <t>Under</t>
        </is>
      </c>
      <c r="P247" s="69" t="inlineStr">
        <is>
          <t>On Track</t>
        </is>
      </c>
    </row>
    <row r="248" ht="16" customHeight="1">
      <c r="A248" s="98" t="inlineStr">
        <is>
          <t>CC-00247</t>
        </is>
      </c>
      <c r="B248" s="99" t="inlineStr">
        <is>
          <t>EVT-2025-023</t>
        </is>
      </c>
      <c r="C248" s="100" t="inlineStr">
        <is>
          <t>Nexolimab Advisory Board Barcelona Jun 2025</t>
        </is>
      </c>
      <c r="D248" s="100" t="inlineStr">
        <is>
          <t>Oncology</t>
        </is>
      </c>
      <c r="E248" s="100" t="inlineStr">
        <is>
          <t>BU Oncology</t>
        </is>
      </c>
      <c r="F248" s="99" t="inlineStr">
        <is>
          <t>Logistics</t>
        </is>
      </c>
      <c r="G248" s="99" t="inlineStr">
        <is>
          <t>Jun-2025</t>
        </is>
      </c>
      <c r="H248" s="99" t="inlineStr">
        <is>
          <t>Q2 2025</t>
        </is>
      </c>
      <c r="I248" s="101" t="n">
        <v>19960.43</v>
      </c>
      <c r="J248" s="101" t="n">
        <v>17377.19</v>
      </c>
      <c r="K248" s="101" t="n">
        <v>12478.16</v>
      </c>
      <c r="L248" s="102" t="n">
        <v>2583.24</v>
      </c>
      <c r="M248" s="103" t="n">
        <v>0.1294</v>
      </c>
      <c r="N248" s="104" t="n">
        <v>0.8705819463809146</v>
      </c>
      <c r="O248" s="105" t="inlineStr">
        <is>
          <t>Under</t>
        </is>
      </c>
      <c r="P248" s="69" t="inlineStr">
        <is>
          <t>On Track</t>
        </is>
      </c>
    </row>
    <row r="249" ht="16" customHeight="1">
      <c r="A249" s="106" t="inlineStr">
        <is>
          <t>CC-00248</t>
        </is>
      </c>
      <c r="B249" s="71" t="inlineStr">
        <is>
          <t>EVT-2025-023</t>
        </is>
      </c>
      <c r="C249" s="70" t="inlineStr">
        <is>
          <t>Nexolimab Advisory Board Barcelona Jun 2025</t>
        </is>
      </c>
      <c r="D249" s="70" t="inlineStr">
        <is>
          <t>Oncology</t>
        </is>
      </c>
      <c r="E249" s="70" t="inlineStr">
        <is>
          <t>BU Oncology</t>
        </is>
      </c>
      <c r="F249" s="71" t="inlineStr">
        <is>
          <t>AV &amp; Technology</t>
        </is>
      </c>
      <c r="G249" s="71" t="inlineStr">
        <is>
          <t>Jun-2025</t>
        </is>
      </c>
      <c r="H249" s="71" t="inlineStr">
        <is>
          <t>Q2 2025</t>
        </is>
      </c>
      <c r="I249" s="73" t="n">
        <v>26613.91</v>
      </c>
      <c r="J249" s="73" t="n">
        <v>27867.67</v>
      </c>
      <c r="K249" s="73" t="n">
        <v>27751.77</v>
      </c>
      <c r="L249" s="74" t="n">
        <v>-1253.76</v>
      </c>
      <c r="M249" s="78" t="n">
        <v>-0.0471</v>
      </c>
      <c r="N249" s="107" t="n">
        <v>1.047109199662883</v>
      </c>
      <c r="O249" s="112" t="inlineStr">
        <is>
          <t>Over</t>
        </is>
      </c>
      <c r="P249" s="69" t="inlineStr">
        <is>
          <t>On Track</t>
        </is>
      </c>
    </row>
    <row r="250" ht="16" customHeight="1">
      <c r="A250" s="98" t="inlineStr">
        <is>
          <t>CC-00249</t>
        </is>
      </c>
      <c r="B250" s="99" t="inlineStr">
        <is>
          <t>EVT-2025-023</t>
        </is>
      </c>
      <c r="C250" s="100" t="inlineStr">
        <is>
          <t>Nexolimab Advisory Board Barcelona Jun 2025</t>
        </is>
      </c>
      <c r="D250" s="100" t="inlineStr">
        <is>
          <t>Oncology</t>
        </is>
      </c>
      <c r="E250" s="100" t="inlineStr">
        <is>
          <t>BU Oncology</t>
        </is>
      </c>
      <c r="F250" s="99" t="inlineStr">
        <is>
          <t>Agency Fees</t>
        </is>
      </c>
      <c r="G250" s="99" t="inlineStr">
        <is>
          <t>Jun-2025</t>
        </is>
      </c>
      <c r="H250" s="99" t="inlineStr">
        <is>
          <t>Q2 2025</t>
        </is>
      </c>
      <c r="I250" s="101" t="n">
        <v>46574.34</v>
      </c>
      <c r="J250" s="101" t="n">
        <v>38937.81</v>
      </c>
      <c r="K250" s="101" t="n">
        <v>30610.07</v>
      </c>
      <c r="L250" s="102" t="n">
        <v>7636.53</v>
      </c>
      <c r="M250" s="103" t="n">
        <v>0.164</v>
      </c>
      <c r="N250" s="104" t="n">
        <v>0.8360356797326597</v>
      </c>
      <c r="O250" s="105" t="inlineStr">
        <is>
          <t>Under</t>
        </is>
      </c>
      <c r="P250" s="69" t="inlineStr">
        <is>
          <t>On Track</t>
        </is>
      </c>
    </row>
    <row r="251" ht="16" customHeight="1">
      <c r="A251" s="106" t="inlineStr">
        <is>
          <t>CC-00250</t>
        </is>
      </c>
      <c r="B251" s="71" t="inlineStr">
        <is>
          <t>EVT-2025-023</t>
        </is>
      </c>
      <c r="C251" s="70" t="inlineStr">
        <is>
          <t>Nexolimab Advisory Board Barcelona Jun 2025</t>
        </is>
      </c>
      <c r="D251" s="70" t="inlineStr">
        <is>
          <t>Oncology</t>
        </is>
      </c>
      <c r="E251" s="70" t="inlineStr">
        <is>
          <t>BU Oncology</t>
        </is>
      </c>
      <c r="F251" s="71" t="inlineStr">
        <is>
          <t>Speaker Fees</t>
        </is>
      </c>
      <c r="G251" s="71" t="inlineStr">
        <is>
          <t>Jun-2025</t>
        </is>
      </c>
      <c r="H251" s="71" t="inlineStr">
        <is>
          <t>Q2 2025</t>
        </is>
      </c>
      <c r="I251" s="73" t="n">
        <v>33267.38</v>
      </c>
      <c r="J251" s="73" t="n">
        <v>22954.18</v>
      </c>
      <c r="K251" s="73" t="n">
        <v>17000.52</v>
      </c>
      <c r="L251" s="80" t="n">
        <v>10313.2</v>
      </c>
      <c r="M251" s="78" t="n">
        <v>0.31</v>
      </c>
      <c r="N251" s="107" t="n">
        <v>0.6899906154316933</v>
      </c>
      <c r="O251" s="108" t="inlineStr">
        <is>
          <t>Under</t>
        </is>
      </c>
      <c r="P251" s="69" t="inlineStr">
        <is>
          <t>On Track</t>
        </is>
      </c>
    </row>
    <row r="252" ht="16" customHeight="1">
      <c r="A252" s="98" t="inlineStr">
        <is>
          <t>CC-00251</t>
        </is>
      </c>
      <c r="B252" s="99" t="inlineStr">
        <is>
          <t>EVT-2025-023</t>
        </is>
      </c>
      <c r="C252" s="100" t="inlineStr">
        <is>
          <t>Nexolimab Advisory Board Barcelona Jun 2025</t>
        </is>
      </c>
      <c r="D252" s="100" t="inlineStr">
        <is>
          <t>Oncology</t>
        </is>
      </c>
      <c r="E252" s="100" t="inlineStr">
        <is>
          <t>BU Oncology</t>
        </is>
      </c>
      <c r="F252" s="99" t="inlineStr">
        <is>
          <t>Translation</t>
        </is>
      </c>
      <c r="G252" s="99" t="inlineStr">
        <is>
          <t>Jun-2025</t>
        </is>
      </c>
      <c r="H252" s="99" t="inlineStr">
        <is>
          <t>Q2 2025</t>
        </is>
      </c>
      <c r="I252" s="101" t="n">
        <v>9980.209999999999</v>
      </c>
      <c r="J252" s="101" t="n">
        <v>9189.4</v>
      </c>
      <c r="K252" s="101" t="n">
        <v>8443.1</v>
      </c>
      <c r="L252" s="102" t="n">
        <v>790.8099999999999</v>
      </c>
      <c r="M252" s="103" t="n">
        <v>0.07920000000000001</v>
      </c>
      <c r="N252" s="104" t="n">
        <v>0.9207621883707858</v>
      </c>
      <c r="O252" s="105" t="inlineStr">
        <is>
          <t>Under</t>
        </is>
      </c>
      <c r="P252" s="69" t="inlineStr">
        <is>
          <t>On Track</t>
        </is>
      </c>
    </row>
    <row r="253" ht="16" customHeight="1">
      <c r="A253" s="106" t="inlineStr">
        <is>
          <t>CC-00252</t>
        </is>
      </c>
      <c r="B253" s="71" t="inlineStr">
        <is>
          <t>EVT-2025-023</t>
        </is>
      </c>
      <c r="C253" s="70" t="inlineStr">
        <is>
          <t>Nexolimab Advisory Board Barcelona Jun 2025</t>
        </is>
      </c>
      <c r="D253" s="70" t="inlineStr">
        <is>
          <t>Oncology</t>
        </is>
      </c>
      <c r="E253" s="70" t="inlineStr">
        <is>
          <t>BU Oncology</t>
        </is>
      </c>
      <c r="F253" s="71" t="inlineStr">
        <is>
          <t>Print &amp; Production</t>
        </is>
      </c>
      <c r="G253" s="71" t="inlineStr">
        <is>
          <t>Jun-2025</t>
        </is>
      </c>
      <c r="H253" s="71" t="inlineStr">
        <is>
          <t>Q2 2025</t>
        </is>
      </c>
      <c r="I253" s="73" t="n">
        <v>6653.48</v>
      </c>
      <c r="J253" s="73" t="n">
        <v>7198.34</v>
      </c>
      <c r="K253" s="73" t="n">
        <v>5847.49</v>
      </c>
      <c r="L253" s="74" t="n">
        <v>-544.86</v>
      </c>
      <c r="M253" s="75" t="n">
        <v>-0.0819</v>
      </c>
      <c r="N253" s="107" t="n">
        <v>1.081890980359151</v>
      </c>
      <c r="O253" s="112" t="inlineStr">
        <is>
          <t>Over</t>
        </is>
      </c>
      <c r="P253" s="76" t="inlineStr">
        <is>
          <t>Watch</t>
        </is>
      </c>
    </row>
    <row r="254" ht="16" customHeight="1">
      <c r="A254" s="98" t="inlineStr">
        <is>
          <t>CC-00253</t>
        </is>
      </c>
      <c r="B254" s="99" t="inlineStr">
        <is>
          <t>EVT-2025-023</t>
        </is>
      </c>
      <c r="C254" s="100" t="inlineStr">
        <is>
          <t>Nexolimab Advisory Board Barcelona Jun 2025</t>
        </is>
      </c>
      <c r="D254" s="100" t="inlineStr">
        <is>
          <t>Oncology</t>
        </is>
      </c>
      <c r="E254" s="100" t="inlineStr">
        <is>
          <t>BU Oncology</t>
        </is>
      </c>
      <c r="F254" s="99" t="inlineStr">
        <is>
          <t>Miscellaneous</t>
        </is>
      </c>
      <c r="G254" s="99" t="inlineStr">
        <is>
          <t>Jun-2025</t>
        </is>
      </c>
      <c r="H254" s="99" t="inlineStr">
        <is>
          <t>Q2 2025</t>
        </is>
      </c>
      <c r="I254" s="101" t="n">
        <v>6653.48</v>
      </c>
      <c r="J254" s="101" t="n">
        <v>6957.32</v>
      </c>
      <c r="K254" s="101" t="n">
        <v>5806.31</v>
      </c>
      <c r="L254" s="109" t="n">
        <v>-303.84</v>
      </c>
      <c r="M254" s="103" t="n">
        <v>-0.0457</v>
      </c>
      <c r="N254" s="104" t="n">
        <v>1.045666327996778</v>
      </c>
      <c r="O254" s="111" t="inlineStr">
        <is>
          <t>Over</t>
        </is>
      </c>
      <c r="P254" s="69" t="inlineStr">
        <is>
          <t>On Track</t>
        </is>
      </c>
    </row>
    <row r="255" ht="16" customHeight="1">
      <c r="A255" s="106" t="inlineStr">
        <is>
          <t>CC-00254</t>
        </is>
      </c>
      <c r="B255" s="71" t="inlineStr">
        <is>
          <t>EVT-2025-024</t>
        </is>
      </c>
      <c r="C255" s="70" t="inlineStr">
        <is>
          <t>Influximab Speaker Program Dublin Oct 2025</t>
        </is>
      </c>
      <c r="D255" s="70" t="inlineStr">
        <is>
          <t>Immunology</t>
        </is>
      </c>
      <c r="E255" s="70" t="inlineStr">
        <is>
          <t>BU Immunology</t>
        </is>
      </c>
      <c r="F255" s="71" t="inlineStr">
        <is>
          <t>Airfare</t>
        </is>
      </c>
      <c r="G255" s="71" t="inlineStr">
        <is>
          <t>Oct-2025</t>
        </is>
      </c>
      <c r="H255" s="71" t="inlineStr">
        <is>
          <t>Q4 2025</t>
        </is>
      </c>
      <c r="I255" s="73" t="n">
        <v>38156.61</v>
      </c>
      <c r="J255" s="73" t="n">
        <v>40390.97</v>
      </c>
      <c r="K255" s="73" t="n">
        <v>0</v>
      </c>
      <c r="L255" s="74" t="n">
        <v>-2234.36</v>
      </c>
      <c r="M255" s="75" t="n">
        <v>-0.0586</v>
      </c>
      <c r="N255" s="107" t="n">
        <v>1.058557612953562</v>
      </c>
      <c r="O255" s="112" t="inlineStr">
        <is>
          <t>Over</t>
        </is>
      </c>
      <c r="P255" s="76" t="inlineStr">
        <is>
          <t>Watch</t>
        </is>
      </c>
    </row>
    <row r="256" ht="16" customHeight="1">
      <c r="A256" s="98" t="inlineStr">
        <is>
          <t>CC-00255</t>
        </is>
      </c>
      <c r="B256" s="99" t="inlineStr">
        <is>
          <t>EVT-2025-024</t>
        </is>
      </c>
      <c r="C256" s="100" t="inlineStr">
        <is>
          <t>Influximab Speaker Program Dublin Oct 2025</t>
        </is>
      </c>
      <c r="D256" s="100" t="inlineStr">
        <is>
          <t>Immunology</t>
        </is>
      </c>
      <c r="E256" s="100" t="inlineStr">
        <is>
          <t>BU Immunology</t>
        </is>
      </c>
      <c r="F256" s="99" t="inlineStr">
        <is>
          <t>Hotel</t>
        </is>
      </c>
      <c r="G256" s="99" t="inlineStr">
        <is>
          <t>Oct-2025</t>
        </is>
      </c>
      <c r="H256" s="99" t="inlineStr">
        <is>
          <t>Q4 2025</t>
        </is>
      </c>
      <c r="I256" s="101" t="n">
        <v>68681.89999999999</v>
      </c>
      <c r="J256" s="101" t="n">
        <v>54172.72</v>
      </c>
      <c r="K256" s="101" t="n">
        <v>0</v>
      </c>
      <c r="L256" s="102" t="n">
        <v>14509.18</v>
      </c>
      <c r="M256" s="103" t="n">
        <v>0.2113</v>
      </c>
      <c r="N256" s="104" t="n">
        <v>0.7887481272358512</v>
      </c>
      <c r="O256" s="105" t="inlineStr">
        <is>
          <t>Under</t>
        </is>
      </c>
      <c r="P256" s="69" t="inlineStr">
        <is>
          <t>On Track</t>
        </is>
      </c>
    </row>
    <row r="257" ht="16" customHeight="1">
      <c r="A257" s="106" t="inlineStr">
        <is>
          <t>CC-00256</t>
        </is>
      </c>
      <c r="B257" s="71" t="inlineStr">
        <is>
          <t>EVT-2025-024</t>
        </is>
      </c>
      <c r="C257" s="70" t="inlineStr">
        <is>
          <t>Influximab Speaker Program Dublin Oct 2025</t>
        </is>
      </c>
      <c r="D257" s="70" t="inlineStr">
        <is>
          <t>Immunology</t>
        </is>
      </c>
      <c r="E257" s="70" t="inlineStr">
        <is>
          <t>BU Immunology</t>
        </is>
      </c>
      <c r="F257" s="71" t="inlineStr">
        <is>
          <t>Venue</t>
        </is>
      </c>
      <c r="G257" s="71" t="inlineStr">
        <is>
          <t>Oct-2025</t>
        </is>
      </c>
      <c r="H257" s="71" t="inlineStr">
        <is>
          <t>Q4 2025</t>
        </is>
      </c>
      <c r="I257" s="73" t="n">
        <v>57234.91</v>
      </c>
      <c r="J257" s="73" t="n">
        <v>36637.5</v>
      </c>
      <c r="K257" s="73" t="n">
        <v>0</v>
      </c>
      <c r="L257" s="80" t="n">
        <v>20597.41</v>
      </c>
      <c r="M257" s="78" t="n">
        <v>0.3599</v>
      </c>
      <c r="N257" s="107" t="n">
        <v>0.640125056543288</v>
      </c>
      <c r="O257" s="108" t="inlineStr">
        <is>
          <t>Under</t>
        </is>
      </c>
      <c r="P257" s="69" t="inlineStr">
        <is>
          <t>On Track</t>
        </is>
      </c>
    </row>
    <row r="258" ht="16" customHeight="1">
      <c r="A258" s="98" t="inlineStr">
        <is>
          <t>CC-00257</t>
        </is>
      </c>
      <c r="B258" s="99" t="inlineStr">
        <is>
          <t>EVT-2025-024</t>
        </is>
      </c>
      <c r="C258" s="100" t="inlineStr">
        <is>
          <t>Influximab Speaker Program Dublin Oct 2025</t>
        </is>
      </c>
      <c r="D258" s="100" t="inlineStr">
        <is>
          <t>Immunology</t>
        </is>
      </c>
      <c r="E258" s="100" t="inlineStr">
        <is>
          <t>BU Immunology</t>
        </is>
      </c>
      <c r="F258" s="99" t="inlineStr">
        <is>
          <t>F&amp;B</t>
        </is>
      </c>
      <c r="G258" s="99" t="inlineStr">
        <is>
          <t>Oct-2025</t>
        </is>
      </c>
      <c r="H258" s="99" t="inlineStr">
        <is>
          <t>Q4 2025</t>
        </is>
      </c>
      <c r="I258" s="101" t="n">
        <v>45787.93</v>
      </c>
      <c r="J258" s="101" t="n">
        <v>49545.85</v>
      </c>
      <c r="K258" s="101" t="n">
        <v>0</v>
      </c>
      <c r="L258" s="109" t="n">
        <v>-3757.92</v>
      </c>
      <c r="M258" s="110" t="n">
        <v>-0.08210000000000001</v>
      </c>
      <c r="N258" s="104" t="n">
        <v>1.082072284115049</v>
      </c>
      <c r="O258" s="111" t="inlineStr">
        <is>
          <t>Over</t>
        </is>
      </c>
      <c r="P258" s="76" t="inlineStr">
        <is>
          <t>Watch</t>
        </is>
      </c>
    </row>
    <row r="259" ht="16" customHeight="1">
      <c r="A259" s="106" t="inlineStr">
        <is>
          <t>CC-00258</t>
        </is>
      </c>
      <c r="B259" s="71" t="inlineStr">
        <is>
          <t>EVT-2025-024</t>
        </is>
      </c>
      <c r="C259" s="70" t="inlineStr">
        <is>
          <t>Influximab Speaker Program Dublin Oct 2025</t>
        </is>
      </c>
      <c r="D259" s="70" t="inlineStr">
        <is>
          <t>Immunology</t>
        </is>
      </c>
      <c r="E259" s="70" t="inlineStr">
        <is>
          <t>BU Immunology</t>
        </is>
      </c>
      <c r="F259" s="71" t="inlineStr">
        <is>
          <t>Logistics</t>
        </is>
      </c>
      <c r="G259" s="71" t="inlineStr">
        <is>
          <t>Oct-2025</t>
        </is>
      </c>
      <c r="H259" s="71" t="inlineStr">
        <is>
          <t>Q4 2025</t>
        </is>
      </c>
      <c r="I259" s="73" t="n">
        <v>22893.97</v>
      </c>
      <c r="J259" s="73" t="n">
        <v>23747.39</v>
      </c>
      <c r="K259" s="73" t="n">
        <v>0</v>
      </c>
      <c r="L259" s="74" t="n">
        <v>-853.42</v>
      </c>
      <c r="M259" s="78" t="n">
        <v>-0.0373</v>
      </c>
      <c r="N259" s="107" t="n">
        <v>1.037277064659384</v>
      </c>
      <c r="O259" s="112" t="inlineStr">
        <is>
          <t>Over</t>
        </is>
      </c>
      <c r="P259" s="69" t="inlineStr">
        <is>
          <t>On Track</t>
        </is>
      </c>
    </row>
    <row r="260" ht="16" customHeight="1">
      <c r="A260" s="98" t="inlineStr">
        <is>
          <t>CC-00259</t>
        </is>
      </c>
      <c r="B260" s="99" t="inlineStr">
        <is>
          <t>EVT-2025-024</t>
        </is>
      </c>
      <c r="C260" s="100" t="inlineStr">
        <is>
          <t>Influximab Speaker Program Dublin Oct 2025</t>
        </is>
      </c>
      <c r="D260" s="100" t="inlineStr">
        <is>
          <t>Immunology</t>
        </is>
      </c>
      <c r="E260" s="100" t="inlineStr">
        <is>
          <t>BU Immunology</t>
        </is>
      </c>
      <c r="F260" s="99" t="inlineStr">
        <is>
          <t>AV &amp; Technology</t>
        </is>
      </c>
      <c r="G260" s="99" t="inlineStr">
        <is>
          <t>Oct-2025</t>
        </is>
      </c>
      <c r="H260" s="99" t="inlineStr">
        <is>
          <t>Q4 2025</t>
        </is>
      </c>
      <c r="I260" s="101" t="n">
        <v>30525.29</v>
      </c>
      <c r="J260" s="101" t="n">
        <v>20344.95</v>
      </c>
      <c r="K260" s="101" t="n">
        <v>0</v>
      </c>
      <c r="L260" s="102" t="n">
        <v>10180.34</v>
      </c>
      <c r="M260" s="103" t="n">
        <v>0.3335</v>
      </c>
      <c r="N260" s="104" t="n">
        <v>0.6664948965267816</v>
      </c>
      <c r="O260" s="105" t="inlineStr">
        <is>
          <t>Under</t>
        </is>
      </c>
      <c r="P260" s="69" t="inlineStr">
        <is>
          <t>On Track</t>
        </is>
      </c>
    </row>
    <row r="261" ht="16" customHeight="1">
      <c r="A261" s="106" t="inlineStr">
        <is>
          <t>CC-00260</t>
        </is>
      </c>
      <c r="B261" s="71" t="inlineStr">
        <is>
          <t>EVT-2025-024</t>
        </is>
      </c>
      <c r="C261" s="70" t="inlineStr">
        <is>
          <t>Influximab Speaker Program Dublin Oct 2025</t>
        </is>
      </c>
      <c r="D261" s="70" t="inlineStr">
        <is>
          <t>Immunology</t>
        </is>
      </c>
      <c r="E261" s="70" t="inlineStr">
        <is>
          <t>BU Immunology</t>
        </is>
      </c>
      <c r="F261" s="71" t="inlineStr">
        <is>
          <t>Agency Fees</t>
        </is>
      </c>
      <c r="G261" s="71" t="inlineStr">
        <is>
          <t>Oct-2025</t>
        </is>
      </c>
      <c r="H261" s="71" t="inlineStr">
        <is>
          <t>Q4 2025</t>
        </is>
      </c>
      <c r="I261" s="73" t="n">
        <v>53419.25</v>
      </c>
      <c r="J261" s="73" t="n">
        <v>55029.48</v>
      </c>
      <c r="K261" s="73" t="n">
        <v>0</v>
      </c>
      <c r="L261" s="74" t="n">
        <v>-1610.23</v>
      </c>
      <c r="M261" s="78" t="n">
        <v>-0.0301</v>
      </c>
      <c r="N261" s="107" t="n">
        <v>1.0301432536024</v>
      </c>
      <c r="O261" s="112" t="inlineStr">
        <is>
          <t>Over</t>
        </is>
      </c>
      <c r="P261" s="69" t="inlineStr">
        <is>
          <t>On Track</t>
        </is>
      </c>
    </row>
    <row r="262" ht="16" customHeight="1">
      <c r="A262" s="98" t="inlineStr">
        <is>
          <t>CC-00261</t>
        </is>
      </c>
      <c r="B262" s="99" t="inlineStr">
        <is>
          <t>EVT-2025-024</t>
        </is>
      </c>
      <c r="C262" s="100" t="inlineStr">
        <is>
          <t>Influximab Speaker Program Dublin Oct 2025</t>
        </is>
      </c>
      <c r="D262" s="100" t="inlineStr">
        <is>
          <t>Immunology</t>
        </is>
      </c>
      <c r="E262" s="100" t="inlineStr">
        <is>
          <t>BU Immunology</t>
        </is>
      </c>
      <c r="F262" s="99" t="inlineStr">
        <is>
          <t>Speaker Fees</t>
        </is>
      </c>
      <c r="G262" s="99" t="inlineStr">
        <is>
          <t>Oct-2025</t>
        </is>
      </c>
      <c r="H262" s="99" t="inlineStr">
        <is>
          <t>Q4 2025</t>
        </is>
      </c>
      <c r="I262" s="101" t="n">
        <v>38156.61</v>
      </c>
      <c r="J262" s="101" t="n">
        <v>25157.29</v>
      </c>
      <c r="K262" s="101" t="n">
        <v>0</v>
      </c>
      <c r="L262" s="102" t="n">
        <v>12999.32</v>
      </c>
      <c r="M262" s="103" t="n">
        <v>0.3407</v>
      </c>
      <c r="N262" s="104" t="n">
        <v>0.6593166950627951</v>
      </c>
      <c r="O262" s="105" t="inlineStr">
        <is>
          <t>Under</t>
        </is>
      </c>
      <c r="P262" s="69" t="inlineStr">
        <is>
          <t>On Track</t>
        </is>
      </c>
    </row>
    <row r="263" ht="16" customHeight="1">
      <c r="A263" s="106" t="inlineStr">
        <is>
          <t>CC-00262</t>
        </is>
      </c>
      <c r="B263" s="71" t="inlineStr">
        <is>
          <t>EVT-2025-024</t>
        </is>
      </c>
      <c r="C263" s="70" t="inlineStr">
        <is>
          <t>Influximab Speaker Program Dublin Oct 2025</t>
        </is>
      </c>
      <c r="D263" s="70" t="inlineStr">
        <is>
          <t>Immunology</t>
        </is>
      </c>
      <c r="E263" s="70" t="inlineStr">
        <is>
          <t>BU Immunology</t>
        </is>
      </c>
      <c r="F263" s="71" t="inlineStr">
        <is>
          <t>Translation</t>
        </is>
      </c>
      <c r="G263" s="71" t="inlineStr">
        <is>
          <t>Oct-2025</t>
        </is>
      </c>
      <c r="H263" s="71" t="inlineStr">
        <is>
          <t>Q4 2025</t>
        </is>
      </c>
      <c r="I263" s="73" t="n">
        <v>11446.98</v>
      </c>
      <c r="J263" s="73" t="n">
        <v>12550.74</v>
      </c>
      <c r="K263" s="73" t="n">
        <v>0</v>
      </c>
      <c r="L263" s="74" t="n">
        <v>-1103.76</v>
      </c>
      <c r="M263" s="75" t="n">
        <v>-0.0964</v>
      </c>
      <c r="N263" s="107" t="n">
        <v>1.096423685548503</v>
      </c>
      <c r="O263" s="112" t="inlineStr">
        <is>
          <t>Over</t>
        </is>
      </c>
      <c r="P263" s="76" t="inlineStr">
        <is>
          <t>Watch</t>
        </is>
      </c>
    </row>
    <row r="264" ht="16" customHeight="1">
      <c r="A264" s="98" t="inlineStr">
        <is>
          <t>CC-00263</t>
        </is>
      </c>
      <c r="B264" s="99" t="inlineStr">
        <is>
          <t>EVT-2025-024</t>
        </is>
      </c>
      <c r="C264" s="100" t="inlineStr">
        <is>
          <t>Influximab Speaker Program Dublin Oct 2025</t>
        </is>
      </c>
      <c r="D264" s="100" t="inlineStr">
        <is>
          <t>Immunology</t>
        </is>
      </c>
      <c r="E264" s="100" t="inlineStr">
        <is>
          <t>BU Immunology</t>
        </is>
      </c>
      <c r="F264" s="99" t="inlineStr">
        <is>
          <t>Print &amp; Production</t>
        </is>
      </c>
      <c r="G264" s="99" t="inlineStr">
        <is>
          <t>Oct-2025</t>
        </is>
      </c>
      <c r="H264" s="99" t="inlineStr">
        <is>
          <t>Q4 2025</t>
        </is>
      </c>
      <c r="I264" s="101" t="n">
        <v>7631.32</v>
      </c>
      <c r="J264" s="101" t="n">
        <v>6078.57</v>
      </c>
      <c r="K264" s="101" t="n">
        <v>0</v>
      </c>
      <c r="L264" s="102" t="n">
        <v>1552.75</v>
      </c>
      <c r="M264" s="103" t="n">
        <v>0.2035</v>
      </c>
      <c r="N264" s="104" t="n">
        <v>0.7965293029253131</v>
      </c>
      <c r="O264" s="105" t="inlineStr">
        <is>
          <t>Under</t>
        </is>
      </c>
      <c r="P264" s="69" t="inlineStr">
        <is>
          <t>On Track</t>
        </is>
      </c>
    </row>
    <row r="265" ht="16" customHeight="1">
      <c r="A265" s="106" t="inlineStr">
        <is>
          <t>CC-00264</t>
        </is>
      </c>
      <c r="B265" s="71" t="inlineStr">
        <is>
          <t>EVT-2025-024</t>
        </is>
      </c>
      <c r="C265" s="70" t="inlineStr">
        <is>
          <t>Influximab Speaker Program Dublin Oct 2025</t>
        </is>
      </c>
      <c r="D265" s="70" t="inlineStr">
        <is>
          <t>Immunology</t>
        </is>
      </c>
      <c r="E265" s="70" t="inlineStr">
        <is>
          <t>BU Immunology</t>
        </is>
      </c>
      <c r="F265" s="71" t="inlineStr">
        <is>
          <t>Miscellaneous</t>
        </is>
      </c>
      <c r="G265" s="71" t="inlineStr">
        <is>
          <t>Oct-2025</t>
        </is>
      </c>
      <c r="H265" s="71" t="inlineStr">
        <is>
          <t>Q4 2025</t>
        </is>
      </c>
      <c r="I265" s="73" t="n">
        <v>7631.32</v>
      </c>
      <c r="J265" s="73" t="n">
        <v>5064.71</v>
      </c>
      <c r="K265" s="73" t="n">
        <v>0</v>
      </c>
      <c r="L265" s="80" t="n">
        <v>2566.61</v>
      </c>
      <c r="M265" s="78" t="n">
        <v>0.3363</v>
      </c>
      <c r="N265" s="107" t="n">
        <v>0.6636741743237081</v>
      </c>
      <c r="O265" s="108" t="inlineStr">
        <is>
          <t>Under</t>
        </is>
      </c>
      <c r="P265" s="69" t="inlineStr">
        <is>
          <t>On Track</t>
        </is>
      </c>
    </row>
    <row r="266" ht="16" customHeight="1">
      <c r="A266" s="98" t="inlineStr">
        <is>
          <t>CC-00265</t>
        </is>
      </c>
      <c r="B266" s="99" t="inlineStr">
        <is>
          <t>EVT-2025-025</t>
        </is>
      </c>
      <c r="C266" s="100" t="inlineStr">
        <is>
          <t>Imunexal Advisory Board Athens Jul 2025</t>
        </is>
      </c>
      <c r="D266" s="100" t="inlineStr">
        <is>
          <t>Immunology</t>
        </is>
      </c>
      <c r="E266" s="100" t="inlineStr">
        <is>
          <t>BU Immunology</t>
        </is>
      </c>
      <c r="F266" s="99" t="inlineStr">
        <is>
          <t>Airfare</t>
        </is>
      </c>
      <c r="G266" s="99" t="inlineStr">
        <is>
          <t>Jul-2025</t>
        </is>
      </c>
      <c r="H266" s="99" t="inlineStr">
        <is>
          <t>Q3 2025</t>
        </is>
      </c>
      <c r="I266" s="101" t="n">
        <v>4240.26</v>
      </c>
      <c r="J266" s="101" t="n">
        <v>4619.18</v>
      </c>
      <c r="K266" s="101" t="n">
        <v>4390.28</v>
      </c>
      <c r="L266" s="109" t="n">
        <v>-378.92</v>
      </c>
      <c r="M266" s="110" t="n">
        <v>-0.08939999999999999</v>
      </c>
      <c r="N266" s="104" t="n">
        <v>1.089362444755746</v>
      </c>
      <c r="O266" s="111" t="inlineStr">
        <is>
          <t>Over</t>
        </is>
      </c>
      <c r="P266" s="76" t="inlineStr">
        <is>
          <t>Watch</t>
        </is>
      </c>
    </row>
    <row r="267" ht="16" customHeight="1">
      <c r="A267" s="106" t="inlineStr">
        <is>
          <t>CC-00266</t>
        </is>
      </c>
      <c r="B267" s="71" t="inlineStr">
        <is>
          <t>EVT-2025-025</t>
        </is>
      </c>
      <c r="C267" s="70" t="inlineStr">
        <is>
          <t>Imunexal Advisory Board Athens Jul 2025</t>
        </is>
      </c>
      <c r="D267" s="70" t="inlineStr">
        <is>
          <t>Immunology</t>
        </is>
      </c>
      <c r="E267" s="70" t="inlineStr">
        <is>
          <t>BU Immunology</t>
        </is>
      </c>
      <c r="F267" s="71" t="inlineStr">
        <is>
          <t>Hotel</t>
        </is>
      </c>
      <c r="G267" s="71" t="inlineStr">
        <is>
          <t>Jul-2025</t>
        </is>
      </c>
      <c r="H267" s="71" t="inlineStr">
        <is>
          <t>Q3 2025</t>
        </is>
      </c>
      <c r="I267" s="73" t="n">
        <v>7632.46</v>
      </c>
      <c r="J267" s="73" t="n">
        <v>7465.23</v>
      </c>
      <c r="K267" s="73" t="n">
        <v>7417.06</v>
      </c>
      <c r="L267" s="80" t="n">
        <v>167.23</v>
      </c>
      <c r="M267" s="78" t="n">
        <v>0.0219</v>
      </c>
      <c r="N267" s="107" t="n">
        <v>0.9780896329623738</v>
      </c>
      <c r="O267" s="108" t="inlineStr">
        <is>
          <t>Under</t>
        </is>
      </c>
      <c r="P267" s="69" t="inlineStr">
        <is>
          <t>On Track</t>
        </is>
      </c>
    </row>
    <row r="268" ht="16" customHeight="1">
      <c r="A268" s="98" t="inlineStr">
        <is>
          <t>CC-00267</t>
        </is>
      </c>
      <c r="B268" s="99" t="inlineStr">
        <is>
          <t>EVT-2025-025</t>
        </is>
      </c>
      <c r="C268" s="100" t="inlineStr">
        <is>
          <t>Imunexal Advisory Board Athens Jul 2025</t>
        </is>
      </c>
      <c r="D268" s="100" t="inlineStr">
        <is>
          <t>Immunology</t>
        </is>
      </c>
      <c r="E268" s="100" t="inlineStr">
        <is>
          <t>BU Immunology</t>
        </is>
      </c>
      <c r="F268" s="99" t="inlineStr">
        <is>
          <t>Venue</t>
        </is>
      </c>
      <c r="G268" s="99" t="inlineStr">
        <is>
          <t>Jul-2025</t>
        </is>
      </c>
      <c r="H268" s="99" t="inlineStr">
        <is>
          <t>Q3 2025</t>
        </is>
      </c>
      <c r="I268" s="101" t="n">
        <v>6360.39</v>
      </c>
      <c r="J268" s="101" t="n">
        <v>5288.68</v>
      </c>
      <c r="K268" s="101" t="n">
        <v>4842.99</v>
      </c>
      <c r="L268" s="102" t="n">
        <v>1071.71</v>
      </c>
      <c r="M268" s="103" t="n">
        <v>0.1685</v>
      </c>
      <c r="N268" s="104" t="n">
        <v>0.8315024707604408</v>
      </c>
      <c r="O268" s="105" t="inlineStr">
        <is>
          <t>Under</t>
        </is>
      </c>
      <c r="P268" s="69" t="inlineStr">
        <is>
          <t>On Track</t>
        </is>
      </c>
    </row>
    <row r="269" ht="16" customHeight="1">
      <c r="A269" s="106" t="inlineStr">
        <is>
          <t>CC-00268</t>
        </is>
      </c>
      <c r="B269" s="71" t="inlineStr">
        <is>
          <t>EVT-2025-025</t>
        </is>
      </c>
      <c r="C269" s="70" t="inlineStr">
        <is>
          <t>Imunexal Advisory Board Athens Jul 2025</t>
        </is>
      </c>
      <c r="D269" s="70" t="inlineStr">
        <is>
          <t>Immunology</t>
        </is>
      </c>
      <c r="E269" s="70" t="inlineStr">
        <is>
          <t>BU Immunology</t>
        </is>
      </c>
      <c r="F269" s="71" t="inlineStr">
        <is>
          <t>F&amp;B</t>
        </is>
      </c>
      <c r="G269" s="71" t="inlineStr">
        <is>
          <t>Jul-2025</t>
        </is>
      </c>
      <c r="H269" s="71" t="inlineStr">
        <is>
          <t>Q3 2025</t>
        </is>
      </c>
      <c r="I269" s="73" t="n">
        <v>5088.31</v>
      </c>
      <c r="J269" s="73" t="n">
        <v>4132.03</v>
      </c>
      <c r="K269" s="73" t="n">
        <v>3362.58</v>
      </c>
      <c r="L269" s="80" t="n">
        <v>956.28</v>
      </c>
      <c r="M269" s="78" t="n">
        <v>0.1879</v>
      </c>
      <c r="N269" s="107" t="n">
        <v>0.8120633373359719</v>
      </c>
      <c r="O269" s="108" t="inlineStr">
        <is>
          <t>Under</t>
        </is>
      </c>
      <c r="P269" s="69" t="inlineStr">
        <is>
          <t>On Track</t>
        </is>
      </c>
    </row>
    <row r="270" ht="16" customHeight="1">
      <c r="A270" s="98" t="inlineStr">
        <is>
          <t>CC-00269</t>
        </is>
      </c>
      <c r="B270" s="99" t="inlineStr">
        <is>
          <t>EVT-2025-025</t>
        </is>
      </c>
      <c r="C270" s="100" t="inlineStr">
        <is>
          <t>Imunexal Advisory Board Athens Jul 2025</t>
        </is>
      </c>
      <c r="D270" s="100" t="inlineStr">
        <is>
          <t>Immunology</t>
        </is>
      </c>
      <c r="E270" s="100" t="inlineStr">
        <is>
          <t>BU Immunology</t>
        </is>
      </c>
      <c r="F270" s="99" t="inlineStr">
        <is>
          <t>Logistics</t>
        </is>
      </c>
      <c r="G270" s="99" t="inlineStr">
        <is>
          <t>Jul-2025</t>
        </is>
      </c>
      <c r="H270" s="99" t="inlineStr">
        <is>
          <t>Q3 2025</t>
        </is>
      </c>
      <c r="I270" s="101" t="n">
        <v>2544.15</v>
      </c>
      <c r="J270" s="101" t="n">
        <v>1818.64</v>
      </c>
      <c r="K270" s="101" t="n">
        <v>1524.36</v>
      </c>
      <c r="L270" s="102" t="n">
        <v>725.51</v>
      </c>
      <c r="M270" s="103" t="n">
        <v>0.2852</v>
      </c>
      <c r="N270" s="104" t="n">
        <v>0.7148320657193955</v>
      </c>
      <c r="O270" s="105" t="inlineStr">
        <is>
          <t>Under</t>
        </is>
      </c>
      <c r="P270" s="69" t="inlineStr">
        <is>
          <t>On Track</t>
        </is>
      </c>
    </row>
    <row r="271" ht="16" customHeight="1">
      <c r="A271" s="106" t="inlineStr">
        <is>
          <t>CC-00270</t>
        </is>
      </c>
      <c r="B271" s="71" t="inlineStr">
        <is>
          <t>EVT-2025-025</t>
        </is>
      </c>
      <c r="C271" s="70" t="inlineStr">
        <is>
          <t>Imunexal Advisory Board Athens Jul 2025</t>
        </is>
      </c>
      <c r="D271" s="70" t="inlineStr">
        <is>
          <t>Immunology</t>
        </is>
      </c>
      <c r="E271" s="70" t="inlineStr">
        <is>
          <t>BU Immunology</t>
        </is>
      </c>
      <c r="F271" s="71" t="inlineStr">
        <is>
          <t>AV &amp; Technology</t>
        </is>
      </c>
      <c r="G271" s="71" t="inlineStr">
        <is>
          <t>Jul-2025</t>
        </is>
      </c>
      <c r="H271" s="71" t="inlineStr">
        <is>
          <t>Q3 2025</t>
        </is>
      </c>
      <c r="I271" s="73" t="n">
        <v>3392.21</v>
      </c>
      <c r="J271" s="73" t="n">
        <v>2298.43</v>
      </c>
      <c r="K271" s="73" t="n">
        <v>1738.86</v>
      </c>
      <c r="L271" s="80" t="n">
        <v>1093.78</v>
      </c>
      <c r="M271" s="78" t="n">
        <v>0.3224</v>
      </c>
      <c r="N271" s="107" t="n">
        <v>0.6775612358904667</v>
      </c>
      <c r="O271" s="108" t="inlineStr">
        <is>
          <t>Under</t>
        </is>
      </c>
      <c r="P271" s="69" t="inlineStr">
        <is>
          <t>On Track</t>
        </is>
      </c>
    </row>
    <row r="272" ht="16" customHeight="1">
      <c r="A272" s="98" t="inlineStr">
        <is>
          <t>CC-00271</t>
        </is>
      </c>
      <c r="B272" s="99" t="inlineStr">
        <is>
          <t>EVT-2025-025</t>
        </is>
      </c>
      <c r="C272" s="100" t="inlineStr">
        <is>
          <t>Imunexal Advisory Board Athens Jul 2025</t>
        </is>
      </c>
      <c r="D272" s="100" t="inlineStr">
        <is>
          <t>Immunology</t>
        </is>
      </c>
      <c r="E272" s="100" t="inlineStr">
        <is>
          <t>BU Immunology</t>
        </is>
      </c>
      <c r="F272" s="99" t="inlineStr">
        <is>
          <t>Agency Fees</t>
        </is>
      </c>
      <c r="G272" s="99" t="inlineStr">
        <is>
          <t>Jul-2025</t>
        </is>
      </c>
      <c r="H272" s="99" t="inlineStr">
        <is>
          <t>Q3 2025</t>
        </is>
      </c>
      <c r="I272" s="101" t="n">
        <v>5936.36</v>
      </c>
      <c r="J272" s="101" t="n">
        <v>6159.59</v>
      </c>
      <c r="K272" s="101" t="n">
        <v>5726.24</v>
      </c>
      <c r="L272" s="109" t="n">
        <v>-223.23</v>
      </c>
      <c r="M272" s="103" t="n">
        <v>-0.0376</v>
      </c>
      <c r="N272" s="104" t="n">
        <v>1.037603851518439</v>
      </c>
      <c r="O272" s="111" t="inlineStr">
        <is>
          <t>Over</t>
        </is>
      </c>
      <c r="P272" s="69" t="inlineStr">
        <is>
          <t>On Track</t>
        </is>
      </c>
    </row>
    <row r="273" ht="16" customHeight="1">
      <c r="A273" s="106" t="inlineStr">
        <is>
          <t>CC-00272</t>
        </is>
      </c>
      <c r="B273" s="71" t="inlineStr">
        <is>
          <t>EVT-2025-025</t>
        </is>
      </c>
      <c r="C273" s="70" t="inlineStr">
        <is>
          <t>Imunexal Advisory Board Athens Jul 2025</t>
        </is>
      </c>
      <c r="D273" s="70" t="inlineStr">
        <is>
          <t>Immunology</t>
        </is>
      </c>
      <c r="E273" s="70" t="inlineStr">
        <is>
          <t>BU Immunology</t>
        </is>
      </c>
      <c r="F273" s="71" t="inlineStr">
        <is>
          <t>Speaker Fees</t>
        </is>
      </c>
      <c r="G273" s="71" t="inlineStr">
        <is>
          <t>Jul-2025</t>
        </is>
      </c>
      <c r="H273" s="71" t="inlineStr">
        <is>
          <t>Q3 2025</t>
        </is>
      </c>
      <c r="I273" s="73" t="n">
        <v>4240.26</v>
      </c>
      <c r="J273" s="73" t="n">
        <v>2612.46</v>
      </c>
      <c r="K273" s="73" t="n">
        <v>2346.14</v>
      </c>
      <c r="L273" s="80" t="n">
        <v>1627.8</v>
      </c>
      <c r="M273" s="78" t="n">
        <v>0.3839</v>
      </c>
      <c r="N273" s="107" t="n">
        <v>0.616108446180187</v>
      </c>
      <c r="O273" s="108" t="inlineStr">
        <is>
          <t>Under</t>
        </is>
      </c>
      <c r="P273" s="69" t="inlineStr">
        <is>
          <t>On Track</t>
        </is>
      </c>
    </row>
    <row r="274" ht="16" customHeight="1">
      <c r="A274" s="98" t="inlineStr">
        <is>
          <t>CC-00273</t>
        </is>
      </c>
      <c r="B274" s="99" t="inlineStr">
        <is>
          <t>EVT-2025-025</t>
        </is>
      </c>
      <c r="C274" s="100" t="inlineStr">
        <is>
          <t>Imunexal Advisory Board Athens Jul 2025</t>
        </is>
      </c>
      <c r="D274" s="100" t="inlineStr">
        <is>
          <t>Immunology</t>
        </is>
      </c>
      <c r="E274" s="100" t="inlineStr">
        <is>
          <t>BU Immunology</t>
        </is>
      </c>
      <c r="F274" s="99" t="inlineStr">
        <is>
          <t>Translation</t>
        </is>
      </c>
      <c r="G274" s="99" t="inlineStr">
        <is>
          <t>Jul-2025</t>
        </is>
      </c>
      <c r="H274" s="99" t="inlineStr">
        <is>
          <t>Q3 2025</t>
        </is>
      </c>
      <c r="I274" s="101" t="n">
        <v>1272.08</v>
      </c>
      <c r="J274" s="101" t="n">
        <v>1154.36</v>
      </c>
      <c r="K274" s="101" t="n">
        <v>1132.28</v>
      </c>
      <c r="L274" s="102" t="n">
        <v>117.72</v>
      </c>
      <c r="M274" s="103" t="n">
        <v>0.0925</v>
      </c>
      <c r="N274" s="104" t="n">
        <v>0.9074586503993459</v>
      </c>
      <c r="O274" s="105" t="inlineStr">
        <is>
          <t>Under</t>
        </is>
      </c>
      <c r="P274" s="69" t="inlineStr">
        <is>
          <t>On Track</t>
        </is>
      </c>
    </row>
    <row r="275" ht="16" customHeight="1">
      <c r="A275" s="106" t="inlineStr">
        <is>
          <t>CC-00274</t>
        </is>
      </c>
      <c r="B275" s="71" t="inlineStr">
        <is>
          <t>EVT-2025-025</t>
        </is>
      </c>
      <c r="C275" s="70" t="inlineStr">
        <is>
          <t>Imunexal Advisory Board Athens Jul 2025</t>
        </is>
      </c>
      <c r="D275" s="70" t="inlineStr">
        <is>
          <t>Immunology</t>
        </is>
      </c>
      <c r="E275" s="70" t="inlineStr">
        <is>
          <t>BU Immunology</t>
        </is>
      </c>
      <c r="F275" s="71" t="inlineStr">
        <is>
          <t>Print &amp; Production</t>
        </is>
      </c>
      <c r="G275" s="71" t="inlineStr">
        <is>
          <t>Jul-2025</t>
        </is>
      </c>
      <c r="H275" s="71" t="inlineStr">
        <is>
          <t>Q3 2025</t>
        </is>
      </c>
      <c r="I275" s="73" t="n">
        <v>848.05</v>
      </c>
      <c r="J275" s="73" t="n">
        <v>885.8099999999999</v>
      </c>
      <c r="K275" s="73" t="n">
        <v>684.02</v>
      </c>
      <c r="L275" s="74" t="n">
        <v>-37.76</v>
      </c>
      <c r="M275" s="78" t="n">
        <v>-0.0445</v>
      </c>
      <c r="N275" s="107" t="n">
        <v>1.04452567655209</v>
      </c>
      <c r="O275" s="112" t="inlineStr">
        <is>
          <t>Over</t>
        </is>
      </c>
      <c r="P275" s="69" t="inlineStr">
        <is>
          <t>On Track</t>
        </is>
      </c>
    </row>
    <row r="276" ht="16" customHeight="1">
      <c r="A276" s="98" t="inlineStr">
        <is>
          <t>CC-00275</t>
        </is>
      </c>
      <c r="B276" s="99" t="inlineStr">
        <is>
          <t>EVT-2025-025</t>
        </is>
      </c>
      <c r="C276" s="100" t="inlineStr">
        <is>
          <t>Imunexal Advisory Board Athens Jul 2025</t>
        </is>
      </c>
      <c r="D276" s="100" t="inlineStr">
        <is>
          <t>Immunology</t>
        </is>
      </c>
      <c r="E276" s="100" t="inlineStr">
        <is>
          <t>BU Immunology</t>
        </is>
      </c>
      <c r="F276" s="99" t="inlineStr">
        <is>
          <t>Miscellaneous</t>
        </is>
      </c>
      <c r="G276" s="99" t="inlineStr">
        <is>
          <t>Jul-2025</t>
        </is>
      </c>
      <c r="H276" s="99" t="inlineStr">
        <is>
          <t>Q3 2025</t>
        </is>
      </c>
      <c r="I276" s="101" t="n">
        <v>848.05</v>
      </c>
      <c r="J276" s="101" t="n">
        <v>537.36</v>
      </c>
      <c r="K276" s="101" t="n">
        <v>471.9</v>
      </c>
      <c r="L276" s="102" t="n">
        <v>310.69</v>
      </c>
      <c r="M276" s="103" t="n">
        <v>0.3664</v>
      </c>
      <c r="N276" s="104" t="n">
        <v>0.6336418843228584</v>
      </c>
      <c r="O276" s="105" t="inlineStr">
        <is>
          <t>Under</t>
        </is>
      </c>
      <c r="P276" s="69" t="inlineStr">
        <is>
          <t>On Track</t>
        </is>
      </c>
    </row>
    <row r="277" ht="16" customHeight="1">
      <c r="A277" s="106" t="inlineStr">
        <is>
          <t>CC-00276</t>
        </is>
      </c>
      <c r="B277" s="71" t="inlineStr">
        <is>
          <t>EVT-2025-026</t>
        </is>
      </c>
      <c r="C277" s="70" t="inlineStr">
        <is>
          <t>Cordavex Investigator Meeting Stockholm Feb 2025</t>
        </is>
      </c>
      <c r="D277" s="70" t="inlineStr">
        <is>
          <t>Cardiology</t>
        </is>
      </c>
      <c r="E277" s="70" t="inlineStr">
        <is>
          <t>BU Cardiovascular</t>
        </is>
      </c>
      <c r="F277" s="71" t="inlineStr">
        <is>
          <t>Airfare</t>
        </is>
      </c>
      <c r="G277" s="71" t="inlineStr">
        <is>
          <t>Feb-2025</t>
        </is>
      </c>
      <c r="H277" s="71" t="inlineStr">
        <is>
          <t>Q1 2025</t>
        </is>
      </c>
      <c r="I277" s="73" t="n">
        <v>26069.92</v>
      </c>
      <c r="J277" s="73" t="n">
        <v>21461.29</v>
      </c>
      <c r="K277" s="73" t="n">
        <v>0</v>
      </c>
      <c r="L277" s="80" t="n">
        <v>4608.63</v>
      </c>
      <c r="M277" s="78" t="n">
        <v>0.1768</v>
      </c>
      <c r="N277" s="107" t="n">
        <v>0.8232204011366357</v>
      </c>
      <c r="O277" s="108" t="inlineStr">
        <is>
          <t>Under</t>
        </is>
      </c>
      <c r="P277" s="69" t="inlineStr">
        <is>
          <t>On Track</t>
        </is>
      </c>
    </row>
    <row r="278" ht="16" customHeight="1">
      <c r="A278" s="98" t="inlineStr">
        <is>
          <t>CC-00277</t>
        </is>
      </c>
      <c r="B278" s="99" t="inlineStr">
        <is>
          <t>EVT-2025-026</t>
        </is>
      </c>
      <c r="C278" s="100" t="inlineStr">
        <is>
          <t>Cordavex Investigator Meeting Stockholm Feb 2025</t>
        </is>
      </c>
      <c r="D278" s="100" t="inlineStr">
        <is>
          <t>Cardiology</t>
        </is>
      </c>
      <c r="E278" s="100" t="inlineStr">
        <is>
          <t>BU Cardiovascular</t>
        </is>
      </c>
      <c r="F278" s="99" t="inlineStr">
        <is>
          <t>Hotel</t>
        </is>
      </c>
      <c r="G278" s="99" t="inlineStr">
        <is>
          <t>Feb-2025</t>
        </is>
      </c>
      <c r="H278" s="99" t="inlineStr">
        <is>
          <t>Q1 2025</t>
        </is>
      </c>
      <c r="I278" s="101" t="n">
        <v>46925.86</v>
      </c>
      <c r="J278" s="101" t="n">
        <v>43923.16</v>
      </c>
      <c r="K278" s="101" t="n">
        <v>0</v>
      </c>
      <c r="L278" s="102" t="n">
        <v>3002.7</v>
      </c>
      <c r="M278" s="103" t="n">
        <v>0.064</v>
      </c>
      <c r="N278" s="104" t="n">
        <v>0.9360118280197742</v>
      </c>
      <c r="O278" s="105" t="inlineStr">
        <is>
          <t>Under</t>
        </is>
      </c>
      <c r="P278" s="69" t="inlineStr">
        <is>
          <t>On Track</t>
        </is>
      </c>
    </row>
    <row r="279" ht="16" customHeight="1">
      <c r="A279" s="106" t="inlineStr">
        <is>
          <t>CC-00278</t>
        </is>
      </c>
      <c r="B279" s="71" t="inlineStr">
        <is>
          <t>EVT-2025-026</t>
        </is>
      </c>
      <c r="C279" s="70" t="inlineStr">
        <is>
          <t>Cordavex Investigator Meeting Stockholm Feb 2025</t>
        </is>
      </c>
      <c r="D279" s="70" t="inlineStr">
        <is>
          <t>Cardiology</t>
        </is>
      </c>
      <c r="E279" s="70" t="inlineStr">
        <is>
          <t>BU Cardiovascular</t>
        </is>
      </c>
      <c r="F279" s="71" t="inlineStr">
        <is>
          <t>Venue</t>
        </is>
      </c>
      <c r="G279" s="71" t="inlineStr">
        <is>
          <t>Feb-2025</t>
        </is>
      </c>
      <c r="H279" s="71" t="inlineStr">
        <is>
          <t>Q1 2025</t>
        </is>
      </c>
      <c r="I279" s="73" t="n">
        <v>39104.88</v>
      </c>
      <c r="J279" s="73" t="n">
        <v>40516.81</v>
      </c>
      <c r="K279" s="73" t="n">
        <v>0</v>
      </c>
      <c r="L279" s="74" t="n">
        <v>-1411.93</v>
      </c>
      <c r="M279" s="78" t="n">
        <v>-0.0361</v>
      </c>
      <c r="N279" s="107" t="n">
        <v>1.036106235334311</v>
      </c>
      <c r="O279" s="112" t="inlineStr">
        <is>
          <t>Over</t>
        </is>
      </c>
      <c r="P279" s="69" t="inlineStr">
        <is>
          <t>On Track</t>
        </is>
      </c>
    </row>
    <row r="280" ht="16" customHeight="1">
      <c r="A280" s="98" t="inlineStr">
        <is>
          <t>CC-00279</t>
        </is>
      </c>
      <c r="B280" s="99" t="inlineStr">
        <is>
          <t>EVT-2025-026</t>
        </is>
      </c>
      <c r="C280" s="100" t="inlineStr">
        <is>
          <t>Cordavex Investigator Meeting Stockholm Feb 2025</t>
        </is>
      </c>
      <c r="D280" s="100" t="inlineStr">
        <is>
          <t>Cardiology</t>
        </is>
      </c>
      <c r="E280" s="100" t="inlineStr">
        <is>
          <t>BU Cardiovascular</t>
        </is>
      </c>
      <c r="F280" s="99" t="inlineStr">
        <is>
          <t>F&amp;B</t>
        </is>
      </c>
      <c r="G280" s="99" t="inlineStr">
        <is>
          <t>Feb-2025</t>
        </is>
      </c>
      <c r="H280" s="99" t="inlineStr">
        <is>
          <t>Q1 2025</t>
        </is>
      </c>
      <c r="I280" s="101" t="n">
        <v>31283.9</v>
      </c>
      <c r="J280" s="101" t="n">
        <v>22598.46</v>
      </c>
      <c r="K280" s="101" t="n">
        <v>0</v>
      </c>
      <c r="L280" s="102" t="n">
        <v>8685.440000000001</v>
      </c>
      <c r="M280" s="103" t="n">
        <v>0.2776</v>
      </c>
      <c r="N280" s="104" t="n">
        <v>0.7223670961740704</v>
      </c>
      <c r="O280" s="105" t="inlineStr">
        <is>
          <t>Under</t>
        </is>
      </c>
      <c r="P280" s="69" t="inlineStr">
        <is>
          <t>On Track</t>
        </is>
      </c>
    </row>
    <row r="281" ht="16" customHeight="1">
      <c r="A281" s="106" t="inlineStr">
        <is>
          <t>CC-00280</t>
        </is>
      </c>
      <c r="B281" s="71" t="inlineStr">
        <is>
          <t>EVT-2025-026</t>
        </is>
      </c>
      <c r="C281" s="70" t="inlineStr">
        <is>
          <t>Cordavex Investigator Meeting Stockholm Feb 2025</t>
        </is>
      </c>
      <c r="D281" s="70" t="inlineStr">
        <is>
          <t>Cardiology</t>
        </is>
      </c>
      <c r="E281" s="70" t="inlineStr">
        <is>
          <t>BU Cardiovascular</t>
        </is>
      </c>
      <c r="F281" s="71" t="inlineStr">
        <is>
          <t>Logistics</t>
        </is>
      </c>
      <c r="G281" s="71" t="inlineStr">
        <is>
          <t>Feb-2025</t>
        </is>
      </c>
      <c r="H281" s="71" t="inlineStr">
        <is>
          <t>Q1 2025</t>
        </is>
      </c>
      <c r="I281" s="73" t="n">
        <v>15641.95</v>
      </c>
      <c r="J281" s="73" t="n">
        <v>9731.139999999999</v>
      </c>
      <c r="K281" s="73" t="n">
        <v>0</v>
      </c>
      <c r="L281" s="80" t="n">
        <v>5910.81</v>
      </c>
      <c r="M281" s="78" t="n">
        <v>0.3779</v>
      </c>
      <c r="N281" s="107" t="n">
        <v>0.6221180862999817</v>
      </c>
      <c r="O281" s="108" t="inlineStr">
        <is>
          <t>Under</t>
        </is>
      </c>
      <c r="P281" s="69" t="inlineStr">
        <is>
          <t>On Track</t>
        </is>
      </c>
    </row>
    <row r="282" ht="16" customHeight="1">
      <c r="A282" s="98" t="inlineStr">
        <is>
          <t>CC-00281</t>
        </is>
      </c>
      <c r="B282" s="99" t="inlineStr">
        <is>
          <t>EVT-2025-026</t>
        </is>
      </c>
      <c r="C282" s="100" t="inlineStr">
        <is>
          <t>Cordavex Investigator Meeting Stockholm Feb 2025</t>
        </is>
      </c>
      <c r="D282" s="100" t="inlineStr">
        <is>
          <t>Cardiology</t>
        </is>
      </c>
      <c r="E282" s="100" t="inlineStr">
        <is>
          <t>BU Cardiovascular</t>
        </is>
      </c>
      <c r="F282" s="99" t="inlineStr">
        <is>
          <t>AV &amp; Technology</t>
        </is>
      </c>
      <c r="G282" s="99" t="inlineStr">
        <is>
          <t>Feb-2025</t>
        </is>
      </c>
      <c r="H282" s="99" t="inlineStr">
        <is>
          <t>Q1 2025</t>
        </is>
      </c>
      <c r="I282" s="101" t="n">
        <v>20855.94</v>
      </c>
      <c r="J282" s="101" t="n">
        <v>17091.06</v>
      </c>
      <c r="K282" s="101" t="n">
        <v>0</v>
      </c>
      <c r="L282" s="102" t="n">
        <v>3764.88</v>
      </c>
      <c r="M282" s="103" t="n">
        <v>0.1805</v>
      </c>
      <c r="N282" s="104" t="n">
        <v>0.8194816440783778</v>
      </c>
      <c r="O282" s="105" t="inlineStr">
        <is>
          <t>Under</t>
        </is>
      </c>
      <c r="P282" s="69" t="inlineStr">
        <is>
          <t>On Track</t>
        </is>
      </c>
    </row>
    <row r="283" ht="16" customHeight="1">
      <c r="A283" s="106" t="inlineStr">
        <is>
          <t>CC-00282</t>
        </is>
      </c>
      <c r="B283" s="71" t="inlineStr">
        <is>
          <t>EVT-2025-026</t>
        </is>
      </c>
      <c r="C283" s="70" t="inlineStr">
        <is>
          <t>Cordavex Investigator Meeting Stockholm Feb 2025</t>
        </is>
      </c>
      <c r="D283" s="70" t="inlineStr">
        <is>
          <t>Cardiology</t>
        </is>
      </c>
      <c r="E283" s="70" t="inlineStr">
        <is>
          <t>BU Cardiovascular</t>
        </is>
      </c>
      <c r="F283" s="71" t="inlineStr">
        <is>
          <t>Agency Fees</t>
        </is>
      </c>
      <c r="G283" s="71" t="inlineStr">
        <is>
          <t>Feb-2025</t>
        </is>
      </c>
      <c r="H283" s="71" t="inlineStr">
        <is>
          <t>Q1 2025</t>
        </is>
      </c>
      <c r="I283" s="73" t="n">
        <v>36497.89</v>
      </c>
      <c r="J283" s="73" t="n">
        <v>31748.78</v>
      </c>
      <c r="K283" s="73" t="n">
        <v>0</v>
      </c>
      <c r="L283" s="80" t="n">
        <v>4749.11</v>
      </c>
      <c r="M283" s="78" t="n">
        <v>0.1301</v>
      </c>
      <c r="N283" s="107" t="n">
        <v>0.8698798752475828</v>
      </c>
      <c r="O283" s="108" t="inlineStr">
        <is>
          <t>Under</t>
        </is>
      </c>
      <c r="P283" s="69" t="inlineStr">
        <is>
          <t>On Track</t>
        </is>
      </c>
    </row>
    <row r="284" ht="16" customHeight="1">
      <c r="A284" s="98" t="inlineStr">
        <is>
          <t>CC-00283</t>
        </is>
      </c>
      <c r="B284" s="99" t="inlineStr">
        <is>
          <t>EVT-2025-026</t>
        </is>
      </c>
      <c r="C284" s="100" t="inlineStr">
        <is>
          <t>Cordavex Investigator Meeting Stockholm Feb 2025</t>
        </is>
      </c>
      <c r="D284" s="100" t="inlineStr">
        <is>
          <t>Cardiology</t>
        </is>
      </c>
      <c r="E284" s="100" t="inlineStr">
        <is>
          <t>BU Cardiovascular</t>
        </is>
      </c>
      <c r="F284" s="99" t="inlineStr">
        <is>
          <t>Speaker Fees</t>
        </is>
      </c>
      <c r="G284" s="99" t="inlineStr">
        <is>
          <t>Feb-2025</t>
        </is>
      </c>
      <c r="H284" s="99" t="inlineStr">
        <is>
          <t>Q1 2025</t>
        </is>
      </c>
      <c r="I284" s="101" t="n">
        <v>26069.92</v>
      </c>
      <c r="J284" s="101" t="n">
        <v>25475.34</v>
      </c>
      <c r="K284" s="101" t="n">
        <v>0</v>
      </c>
      <c r="L284" s="102" t="n">
        <v>594.58</v>
      </c>
      <c r="M284" s="103" t="n">
        <v>0.0228</v>
      </c>
      <c r="N284" s="104" t="n">
        <v>0.9771928720916674</v>
      </c>
      <c r="O284" s="105" t="inlineStr">
        <is>
          <t>Under</t>
        </is>
      </c>
      <c r="P284" s="69" t="inlineStr">
        <is>
          <t>On Track</t>
        </is>
      </c>
    </row>
    <row r="285" ht="16" customHeight="1">
      <c r="A285" s="106" t="inlineStr">
        <is>
          <t>CC-00284</t>
        </is>
      </c>
      <c r="B285" s="71" t="inlineStr">
        <is>
          <t>EVT-2025-026</t>
        </is>
      </c>
      <c r="C285" s="70" t="inlineStr">
        <is>
          <t>Cordavex Investigator Meeting Stockholm Feb 2025</t>
        </is>
      </c>
      <c r="D285" s="70" t="inlineStr">
        <is>
          <t>Cardiology</t>
        </is>
      </c>
      <c r="E285" s="70" t="inlineStr">
        <is>
          <t>BU Cardiovascular</t>
        </is>
      </c>
      <c r="F285" s="71" t="inlineStr">
        <is>
          <t>Translation</t>
        </is>
      </c>
      <c r="G285" s="71" t="inlineStr">
        <is>
          <t>Feb-2025</t>
        </is>
      </c>
      <c r="H285" s="71" t="inlineStr">
        <is>
          <t>Q1 2025</t>
        </is>
      </c>
      <c r="I285" s="73" t="n">
        <v>7820.98</v>
      </c>
      <c r="J285" s="73" t="n">
        <v>7727.38</v>
      </c>
      <c r="K285" s="73" t="n">
        <v>0</v>
      </c>
      <c r="L285" s="80" t="n">
        <v>93.59999999999999</v>
      </c>
      <c r="M285" s="78" t="n">
        <v>0.012</v>
      </c>
      <c r="N285" s="107" t="n">
        <v>0.9880321903393181</v>
      </c>
      <c r="O285" s="108" t="inlineStr">
        <is>
          <t>Under</t>
        </is>
      </c>
      <c r="P285" s="69" t="inlineStr">
        <is>
          <t>On Track</t>
        </is>
      </c>
    </row>
    <row r="286" ht="16" customHeight="1">
      <c r="A286" s="98" t="inlineStr">
        <is>
          <t>CC-00285</t>
        </is>
      </c>
      <c r="B286" s="99" t="inlineStr">
        <is>
          <t>EVT-2025-026</t>
        </is>
      </c>
      <c r="C286" s="100" t="inlineStr">
        <is>
          <t>Cordavex Investigator Meeting Stockholm Feb 2025</t>
        </is>
      </c>
      <c r="D286" s="100" t="inlineStr">
        <is>
          <t>Cardiology</t>
        </is>
      </c>
      <c r="E286" s="100" t="inlineStr">
        <is>
          <t>BU Cardiovascular</t>
        </is>
      </c>
      <c r="F286" s="99" t="inlineStr">
        <is>
          <t>Print &amp; Production</t>
        </is>
      </c>
      <c r="G286" s="99" t="inlineStr">
        <is>
          <t>Feb-2025</t>
        </is>
      </c>
      <c r="H286" s="99" t="inlineStr">
        <is>
          <t>Q1 2025</t>
        </is>
      </c>
      <c r="I286" s="101" t="n">
        <v>5213.98</v>
      </c>
      <c r="J286" s="101" t="n">
        <v>3493.72</v>
      </c>
      <c r="K286" s="101" t="n">
        <v>0</v>
      </c>
      <c r="L286" s="102" t="n">
        <v>1720.26</v>
      </c>
      <c r="M286" s="103" t="n">
        <v>0.3299</v>
      </c>
      <c r="N286" s="104" t="n">
        <v>0.6700677793163764</v>
      </c>
      <c r="O286" s="105" t="inlineStr">
        <is>
          <t>Under</t>
        </is>
      </c>
      <c r="P286" s="69" t="inlineStr">
        <is>
          <t>On Track</t>
        </is>
      </c>
    </row>
    <row r="287" ht="16" customHeight="1">
      <c r="A287" s="106" t="inlineStr">
        <is>
          <t>CC-00286</t>
        </is>
      </c>
      <c r="B287" s="71" t="inlineStr">
        <is>
          <t>EVT-2025-026</t>
        </is>
      </c>
      <c r="C287" s="70" t="inlineStr">
        <is>
          <t>Cordavex Investigator Meeting Stockholm Feb 2025</t>
        </is>
      </c>
      <c r="D287" s="70" t="inlineStr">
        <is>
          <t>Cardiology</t>
        </is>
      </c>
      <c r="E287" s="70" t="inlineStr">
        <is>
          <t>BU Cardiovascular</t>
        </is>
      </c>
      <c r="F287" s="71" t="inlineStr">
        <is>
          <t>Miscellaneous</t>
        </is>
      </c>
      <c r="G287" s="71" t="inlineStr">
        <is>
          <t>Feb-2025</t>
        </is>
      </c>
      <c r="H287" s="71" t="inlineStr">
        <is>
          <t>Q1 2025</t>
        </is>
      </c>
      <c r="I287" s="73" t="n">
        <v>5213.98</v>
      </c>
      <c r="J287" s="73" t="n">
        <v>5718.39</v>
      </c>
      <c r="K287" s="73" t="n">
        <v>0</v>
      </c>
      <c r="L287" s="74" t="n">
        <v>-504.41</v>
      </c>
      <c r="M287" s="75" t="n">
        <v>-0.09669999999999999</v>
      </c>
      <c r="N287" s="107" t="n">
        <v>1.09674183637068</v>
      </c>
      <c r="O287" s="112" t="inlineStr">
        <is>
          <t>Over</t>
        </is>
      </c>
      <c r="P287" s="76" t="inlineStr">
        <is>
          <t>Watch</t>
        </is>
      </c>
    </row>
    <row r="288" ht="16" customHeight="1">
      <c r="A288" s="98" t="inlineStr">
        <is>
          <t>CC-00287</t>
        </is>
      </c>
      <c r="B288" s="99" t="inlineStr">
        <is>
          <t>EVT-2025-027</t>
        </is>
      </c>
      <c r="C288" s="100" t="inlineStr">
        <is>
          <t>Hemaflex Internal Meeting Warsaw May 2025</t>
        </is>
      </c>
      <c r="D288" s="100" t="inlineStr">
        <is>
          <t>Hematology</t>
        </is>
      </c>
      <c r="E288" s="100" t="inlineStr">
        <is>
          <t>BU Oncology</t>
        </is>
      </c>
      <c r="F288" s="99" t="inlineStr">
        <is>
          <t>Airfare</t>
        </is>
      </c>
      <c r="G288" s="99" t="inlineStr">
        <is>
          <t>May-2025</t>
        </is>
      </c>
      <c r="H288" s="99" t="inlineStr">
        <is>
          <t>Q2 2025</t>
        </is>
      </c>
      <c r="I288" s="101" t="n">
        <v>5509.33</v>
      </c>
      <c r="J288" s="101" t="n">
        <v>3950.63</v>
      </c>
      <c r="K288" s="101" t="n">
        <v>3851.54</v>
      </c>
      <c r="L288" s="102" t="n">
        <v>1558.7</v>
      </c>
      <c r="M288" s="103" t="n">
        <v>0.2829</v>
      </c>
      <c r="N288" s="104" t="n">
        <v>0.7170799353097382</v>
      </c>
      <c r="O288" s="105" t="inlineStr">
        <is>
          <t>Under</t>
        </is>
      </c>
      <c r="P288" s="69" t="inlineStr">
        <is>
          <t>On Track</t>
        </is>
      </c>
    </row>
    <row r="289" ht="16" customHeight="1">
      <c r="A289" s="106" t="inlineStr">
        <is>
          <t>CC-00288</t>
        </is>
      </c>
      <c r="B289" s="71" t="inlineStr">
        <is>
          <t>EVT-2025-027</t>
        </is>
      </c>
      <c r="C289" s="70" t="inlineStr">
        <is>
          <t>Hemaflex Internal Meeting Warsaw May 2025</t>
        </is>
      </c>
      <c r="D289" s="70" t="inlineStr">
        <is>
          <t>Hematology</t>
        </is>
      </c>
      <c r="E289" s="70" t="inlineStr">
        <is>
          <t>BU Oncology</t>
        </is>
      </c>
      <c r="F289" s="71" t="inlineStr">
        <is>
          <t>Hotel</t>
        </is>
      </c>
      <c r="G289" s="71" t="inlineStr">
        <is>
          <t>May-2025</t>
        </is>
      </c>
      <c r="H289" s="71" t="inlineStr">
        <is>
          <t>Q2 2025</t>
        </is>
      </c>
      <c r="I289" s="73" t="n">
        <v>9916.790000000001</v>
      </c>
      <c r="J289" s="73" t="n">
        <v>8806.66</v>
      </c>
      <c r="K289" s="73" t="n">
        <v>7690.35</v>
      </c>
      <c r="L289" s="80" t="n">
        <v>1110.13</v>
      </c>
      <c r="M289" s="78" t="n">
        <v>0.1119</v>
      </c>
      <c r="N289" s="107" t="n">
        <v>0.88805550989786</v>
      </c>
      <c r="O289" s="108" t="inlineStr">
        <is>
          <t>Under</t>
        </is>
      </c>
      <c r="P289" s="69" t="inlineStr">
        <is>
          <t>On Track</t>
        </is>
      </c>
    </row>
    <row r="290" ht="16" customHeight="1">
      <c r="A290" s="98" t="inlineStr">
        <is>
          <t>CC-00289</t>
        </is>
      </c>
      <c r="B290" s="99" t="inlineStr">
        <is>
          <t>EVT-2025-027</t>
        </is>
      </c>
      <c r="C290" s="100" t="inlineStr">
        <is>
          <t>Hemaflex Internal Meeting Warsaw May 2025</t>
        </is>
      </c>
      <c r="D290" s="100" t="inlineStr">
        <is>
          <t>Hematology</t>
        </is>
      </c>
      <c r="E290" s="100" t="inlineStr">
        <is>
          <t>BU Oncology</t>
        </is>
      </c>
      <c r="F290" s="99" t="inlineStr">
        <is>
          <t>Venue</t>
        </is>
      </c>
      <c r="G290" s="99" t="inlineStr">
        <is>
          <t>May-2025</t>
        </is>
      </c>
      <c r="H290" s="99" t="inlineStr">
        <is>
          <t>Q2 2025</t>
        </is>
      </c>
      <c r="I290" s="101" t="n">
        <v>8263.99</v>
      </c>
      <c r="J290" s="101" t="n">
        <v>8150.52</v>
      </c>
      <c r="K290" s="101" t="n">
        <v>7706.44</v>
      </c>
      <c r="L290" s="102" t="n">
        <v>113.47</v>
      </c>
      <c r="M290" s="103" t="n">
        <v>0.0137</v>
      </c>
      <c r="N290" s="104" t="n">
        <v>0.9862693444691971</v>
      </c>
      <c r="O290" s="105" t="inlineStr">
        <is>
          <t>Under</t>
        </is>
      </c>
      <c r="P290" s="69" t="inlineStr">
        <is>
          <t>On Track</t>
        </is>
      </c>
    </row>
    <row r="291" ht="16" customHeight="1">
      <c r="A291" s="106" t="inlineStr">
        <is>
          <t>CC-00290</t>
        </is>
      </c>
      <c r="B291" s="71" t="inlineStr">
        <is>
          <t>EVT-2025-027</t>
        </is>
      </c>
      <c r="C291" s="70" t="inlineStr">
        <is>
          <t>Hemaflex Internal Meeting Warsaw May 2025</t>
        </is>
      </c>
      <c r="D291" s="70" t="inlineStr">
        <is>
          <t>Hematology</t>
        </is>
      </c>
      <c r="E291" s="70" t="inlineStr">
        <is>
          <t>BU Oncology</t>
        </is>
      </c>
      <c r="F291" s="71" t="inlineStr">
        <is>
          <t>F&amp;B</t>
        </is>
      </c>
      <c r="G291" s="71" t="inlineStr">
        <is>
          <t>May-2025</t>
        </is>
      </c>
      <c r="H291" s="71" t="inlineStr">
        <is>
          <t>Q2 2025</t>
        </is>
      </c>
      <c r="I291" s="73" t="n">
        <v>6611.19</v>
      </c>
      <c r="J291" s="73" t="n">
        <v>4749.82</v>
      </c>
      <c r="K291" s="73" t="n">
        <v>4573.49</v>
      </c>
      <c r="L291" s="80" t="n">
        <v>1861.37</v>
      </c>
      <c r="M291" s="78" t="n">
        <v>0.2815</v>
      </c>
      <c r="N291" s="107" t="n">
        <v>0.7184515949473544</v>
      </c>
      <c r="O291" s="108" t="inlineStr">
        <is>
          <t>Under</t>
        </is>
      </c>
      <c r="P291" s="69" t="inlineStr">
        <is>
          <t>On Track</t>
        </is>
      </c>
    </row>
    <row r="292" ht="16" customHeight="1">
      <c r="A292" s="98" t="inlineStr">
        <is>
          <t>CC-00291</t>
        </is>
      </c>
      <c r="B292" s="99" t="inlineStr">
        <is>
          <t>EVT-2025-027</t>
        </is>
      </c>
      <c r="C292" s="100" t="inlineStr">
        <is>
          <t>Hemaflex Internal Meeting Warsaw May 2025</t>
        </is>
      </c>
      <c r="D292" s="100" t="inlineStr">
        <is>
          <t>Hematology</t>
        </is>
      </c>
      <c r="E292" s="100" t="inlineStr">
        <is>
          <t>BU Oncology</t>
        </is>
      </c>
      <c r="F292" s="99" t="inlineStr">
        <is>
          <t>Logistics</t>
        </is>
      </c>
      <c r="G292" s="99" t="inlineStr">
        <is>
          <t>May-2025</t>
        </is>
      </c>
      <c r="H292" s="99" t="inlineStr">
        <is>
          <t>Q2 2025</t>
        </is>
      </c>
      <c r="I292" s="101" t="n">
        <v>3305.6</v>
      </c>
      <c r="J292" s="101" t="n">
        <v>3612.52</v>
      </c>
      <c r="K292" s="101" t="n">
        <v>3093.67</v>
      </c>
      <c r="L292" s="109" t="n">
        <v>-306.92</v>
      </c>
      <c r="M292" s="110" t="n">
        <v>-0.09279999999999999</v>
      </c>
      <c r="N292" s="104" t="n">
        <v>1.092848499515973</v>
      </c>
      <c r="O292" s="111" t="inlineStr">
        <is>
          <t>Over</t>
        </is>
      </c>
      <c r="P292" s="76" t="inlineStr">
        <is>
          <t>Watch</t>
        </is>
      </c>
    </row>
    <row r="293" ht="16" customHeight="1">
      <c r="A293" s="106" t="inlineStr">
        <is>
          <t>CC-00292</t>
        </is>
      </c>
      <c r="B293" s="71" t="inlineStr">
        <is>
          <t>EVT-2025-027</t>
        </is>
      </c>
      <c r="C293" s="70" t="inlineStr">
        <is>
          <t>Hemaflex Internal Meeting Warsaw May 2025</t>
        </is>
      </c>
      <c r="D293" s="70" t="inlineStr">
        <is>
          <t>Hematology</t>
        </is>
      </c>
      <c r="E293" s="70" t="inlineStr">
        <is>
          <t>BU Oncology</t>
        </is>
      </c>
      <c r="F293" s="71" t="inlineStr">
        <is>
          <t>AV &amp; Technology</t>
        </is>
      </c>
      <c r="G293" s="71" t="inlineStr">
        <is>
          <t>May-2025</t>
        </is>
      </c>
      <c r="H293" s="71" t="inlineStr">
        <is>
          <t>Q2 2025</t>
        </is>
      </c>
      <c r="I293" s="73" t="n">
        <v>4407.46</v>
      </c>
      <c r="J293" s="73" t="n">
        <v>3555.85</v>
      </c>
      <c r="K293" s="73" t="n">
        <v>2782.62</v>
      </c>
      <c r="L293" s="80" t="n">
        <v>851.61</v>
      </c>
      <c r="M293" s="78" t="n">
        <v>0.1932</v>
      </c>
      <c r="N293" s="107" t="n">
        <v>0.8067798686771973</v>
      </c>
      <c r="O293" s="108" t="inlineStr">
        <is>
          <t>Under</t>
        </is>
      </c>
      <c r="P293" s="69" t="inlineStr">
        <is>
          <t>On Track</t>
        </is>
      </c>
    </row>
    <row r="294" ht="16" customHeight="1">
      <c r="A294" s="98" t="inlineStr">
        <is>
          <t>CC-00293</t>
        </is>
      </c>
      <c r="B294" s="99" t="inlineStr">
        <is>
          <t>EVT-2025-027</t>
        </is>
      </c>
      <c r="C294" s="100" t="inlineStr">
        <is>
          <t>Hemaflex Internal Meeting Warsaw May 2025</t>
        </is>
      </c>
      <c r="D294" s="100" t="inlineStr">
        <is>
          <t>Hematology</t>
        </is>
      </c>
      <c r="E294" s="100" t="inlineStr">
        <is>
          <t>BU Oncology</t>
        </is>
      </c>
      <c r="F294" s="99" t="inlineStr">
        <is>
          <t>Agency Fees</t>
        </is>
      </c>
      <c r="G294" s="99" t="inlineStr">
        <is>
          <t>May-2025</t>
        </is>
      </c>
      <c r="H294" s="99" t="inlineStr">
        <is>
          <t>Q2 2025</t>
        </is>
      </c>
      <c r="I294" s="101" t="n">
        <v>7713.06</v>
      </c>
      <c r="J294" s="101" t="n">
        <v>6774.84</v>
      </c>
      <c r="K294" s="101" t="n">
        <v>5944.92</v>
      </c>
      <c r="L294" s="102" t="n">
        <v>938.22</v>
      </c>
      <c r="M294" s="103" t="n">
        <v>0.1216</v>
      </c>
      <c r="N294" s="104" t="n">
        <v>0.8783595615747836</v>
      </c>
      <c r="O294" s="105" t="inlineStr">
        <is>
          <t>Under</t>
        </is>
      </c>
      <c r="P294" s="69" t="inlineStr">
        <is>
          <t>On Track</t>
        </is>
      </c>
    </row>
    <row r="295" ht="16" customHeight="1">
      <c r="A295" s="106" t="inlineStr">
        <is>
          <t>CC-00294</t>
        </is>
      </c>
      <c r="B295" s="71" t="inlineStr">
        <is>
          <t>EVT-2025-027</t>
        </is>
      </c>
      <c r="C295" s="70" t="inlineStr">
        <is>
          <t>Hemaflex Internal Meeting Warsaw May 2025</t>
        </is>
      </c>
      <c r="D295" s="70" t="inlineStr">
        <is>
          <t>Hematology</t>
        </is>
      </c>
      <c r="E295" s="70" t="inlineStr">
        <is>
          <t>BU Oncology</t>
        </is>
      </c>
      <c r="F295" s="71" t="inlineStr">
        <is>
          <t>Speaker Fees</t>
        </is>
      </c>
      <c r="G295" s="71" t="inlineStr">
        <is>
          <t>May-2025</t>
        </is>
      </c>
      <c r="H295" s="71" t="inlineStr">
        <is>
          <t>Q2 2025</t>
        </is>
      </c>
      <c r="I295" s="73" t="n">
        <v>5509.33</v>
      </c>
      <c r="J295" s="73" t="n">
        <v>5330.86</v>
      </c>
      <c r="K295" s="73" t="n">
        <v>4011.69</v>
      </c>
      <c r="L295" s="80" t="n">
        <v>178.47</v>
      </c>
      <c r="M295" s="78" t="n">
        <v>0.0324</v>
      </c>
      <c r="N295" s="107" t="n">
        <v>0.9676058613297805</v>
      </c>
      <c r="O295" s="108" t="inlineStr">
        <is>
          <t>Under</t>
        </is>
      </c>
      <c r="P295" s="69" t="inlineStr">
        <is>
          <t>On Track</t>
        </is>
      </c>
    </row>
    <row r="296" ht="16" customHeight="1">
      <c r="A296" s="98" t="inlineStr">
        <is>
          <t>CC-00295</t>
        </is>
      </c>
      <c r="B296" s="99" t="inlineStr">
        <is>
          <t>EVT-2025-027</t>
        </is>
      </c>
      <c r="C296" s="100" t="inlineStr">
        <is>
          <t>Hemaflex Internal Meeting Warsaw May 2025</t>
        </is>
      </c>
      <c r="D296" s="100" t="inlineStr">
        <is>
          <t>Hematology</t>
        </is>
      </c>
      <c r="E296" s="100" t="inlineStr">
        <is>
          <t>BU Oncology</t>
        </is>
      </c>
      <c r="F296" s="99" t="inlineStr">
        <is>
          <t>Translation</t>
        </is>
      </c>
      <c r="G296" s="99" t="inlineStr">
        <is>
          <t>May-2025</t>
        </is>
      </c>
      <c r="H296" s="99" t="inlineStr">
        <is>
          <t>Q2 2025</t>
        </is>
      </c>
      <c r="I296" s="101" t="n">
        <v>1652.8</v>
      </c>
      <c r="J296" s="101" t="n">
        <v>1552.6</v>
      </c>
      <c r="K296" s="101" t="n">
        <v>1345.72</v>
      </c>
      <c r="L296" s="102" t="n">
        <v>100.2</v>
      </c>
      <c r="M296" s="103" t="n">
        <v>0.0606</v>
      </c>
      <c r="N296" s="104" t="n">
        <v>0.9393756050338818</v>
      </c>
      <c r="O296" s="105" t="inlineStr">
        <is>
          <t>Under</t>
        </is>
      </c>
      <c r="P296" s="69" t="inlineStr">
        <is>
          <t>On Track</t>
        </is>
      </c>
    </row>
    <row r="297" ht="16" customHeight="1">
      <c r="A297" s="106" t="inlineStr">
        <is>
          <t>CC-00296</t>
        </is>
      </c>
      <c r="B297" s="71" t="inlineStr">
        <is>
          <t>EVT-2025-027</t>
        </is>
      </c>
      <c r="C297" s="70" t="inlineStr">
        <is>
          <t>Hemaflex Internal Meeting Warsaw May 2025</t>
        </is>
      </c>
      <c r="D297" s="70" t="inlineStr">
        <is>
          <t>Hematology</t>
        </is>
      </c>
      <c r="E297" s="70" t="inlineStr">
        <is>
          <t>BU Oncology</t>
        </is>
      </c>
      <c r="F297" s="71" t="inlineStr">
        <is>
          <t>Print &amp; Production</t>
        </is>
      </c>
      <c r="G297" s="71" t="inlineStr">
        <is>
          <t>May-2025</t>
        </is>
      </c>
      <c r="H297" s="71" t="inlineStr">
        <is>
          <t>Q2 2025</t>
        </is>
      </c>
      <c r="I297" s="73" t="n">
        <v>1101.87</v>
      </c>
      <c r="J297" s="73" t="n">
        <v>686.95</v>
      </c>
      <c r="K297" s="73" t="n">
        <v>551.84</v>
      </c>
      <c r="L297" s="80" t="n">
        <v>414.92</v>
      </c>
      <c r="M297" s="78" t="n">
        <v>0.3766</v>
      </c>
      <c r="N297" s="107" t="n">
        <v>0.6234401517420386</v>
      </c>
      <c r="O297" s="108" t="inlineStr">
        <is>
          <t>Under</t>
        </is>
      </c>
      <c r="P297" s="69" t="inlineStr">
        <is>
          <t>On Track</t>
        </is>
      </c>
    </row>
    <row r="298" ht="16" customHeight="1">
      <c r="A298" s="98" t="inlineStr">
        <is>
          <t>CC-00297</t>
        </is>
      </c>
      <c r="B298" s="99" t="inlineStr">
        <is>
          <t>EVT-2025-027</t>
        </is>
      </c>
      <c r="C298" s="100" t="inlineStr">
        <is>
          <t>Hemaflex Internal Meeting Warsaw May 2025</t>
        </is>
      </c>
      <c r="D298" s="100" t="inlineStr">
        <is>
          <t>Hematology</t>
        </is>
      </c>
      <c r="E298" s="100" t="inlineStr">
        <is>
          <t>BU Oncology</t>
        </is>
      </c>
      <c r="F298" s="99" t="inlineStr">
        <is>
          <t>Miscellaneous</t>
        </is>
      </c>
      <c r="G298" s="99" t="inlineStr">
        <is>
          <t>May-2025</t>
        </is>
      </c>
      <c r="H298" s="99" t="inlineStr">
        <is>
          <t>Q2 2025</t>
        </is>
      </c>
      <c r="I298" s="101" t="n">
        <v>1101.87</v>
      </c>
      <c r="J298" s="101" t="n">
        <v>1015.55</v>
      </c>
      <c r="K298" s="101" t="n">
        <v>827.01</v>
      </c>
      <c r="L298" s="102" t="n">
        <v>86.31999999999999</v>
      </c>
      <c r="M298" s="103" t="n">
        <v>0.07829999999999999</v>
      </c>
      <c r="N298" s="104" t="n">
        <v>0.9216604499623368</v>
      </c>
      <c r="O298" s="105" t="inlineStr">
        <is>
          <t>Under</t>
        </is>
      </c>
      <c r="P298" s="69" t="inlineStr">
        <is>
          <t>On Track</t>
        </is>
      </c>
    </row>
    <row r="299" ht="16" customHeight="1">
      <c r="A299" s="106" t="inlineStr">
        <is>
          <t>CC-00298</t>
        </is>
      </c>
      <c r="B299" s="71" t="inlineStr">
        <is>
          <t>EVT-2025-028</t>
        </is>
      </c>
      <c r="C299" s="70" t="inlineStr">
        <is>
          <t>Nexolimab KOL Meeting Milan Jul 2025</t>
        </is>
      </c>
      <c r="D299" s="70" t="inlineStr">
        <is>
          <t>Oncology</t>
        </is>
      </c>
      <c r="E299" s="70" t="inlineStr">
        <is>
          <t>BU Oncology</t>
        </is>
      </c>
      <c r="F299" s="71" t="inlineStr">
        <is>
          <t>Airfare</t>
        </is>
      </c>
      <c r="G299" s="71" t="inlineStr">
        <is>
          <t>Jul-2025</t>
        </is>
      </c>
      <c r="H299" s="71" t="inlineStr">
        <is>
          <t>Q3 2025</t>
        </is>
      </c>
      <c r="I299" s="73" t="n">
        <v>45563.26</v>
      </c>
      <c r="J299" s="73" t="n">
        <v>39286.08</v>
      </c>
      <c r="K299" s="73" t="n">
        <v>35706.82</v>
      </c>
      <c r="L299" s="80" t="n">
        <v>6277.18</v>
      </c>
      <c r="M299" s="78" t="n">
        <v>0.1378</v>
      </c>
      <c r="N299" s="107" t="n">
        <v>0.8622315435726066</v>
      </c>
      <c r="O299" s="108" t="inlineStr">
        <is>
          <t>Under</t>
        </is>
      </c>
      <c r="P299" s="69" t="inlineStr">
        <is>
          <t>On Track</t>
        </is>
      </c>
    </row>
    <row r="300" ht="16" customHeight="1">
      <c r="A300" s="98" t="inlineStr">
        <is>
          <t>CC-00299</t>
        </is>
      </c>
      <c r="B300" s="99" t="inlineStr">
        <is>
          <t>EVT-2025-028</t>
        </is>
      </c>
      <c r="C300" s="100" t="inlineStr">
        <is>
          <t>Nexolimab KOL Meeting Milan Jul 2025</t>
        </is>
      </c>
      <c r="D300" s="100" t="inlineStr">
        <is>
          <t>Oncology</t>
        </is>
      </c>
      <c r="E300" s="100" t="inlineStr">
        <is>
          <t>BU Oncology</t>
        </is>
      </c>
      <c r="F300" s="99" t="inlineStr">
        <is>
          <t>Hotel</t>
        </is>
      </c>
      <c r="G300" s="99" t="inlineStr">
        <is>
          <t>Jul-2025</t>
        </is>
      </c>
      <c r="H300" s="99" t="inlineStr">
        <is>
          <t>Q3 2025</t>
        </is>
      </c>
      <c r="I300" s="101" t="n">
        <v>82013.86</v>
      </c>
      <c r="J300" s="101" t="n">
        <v>65949.77</v>
      </c>
      <c r="K300" s="101" t="n">
        <v>52098.11</v>
      </c>
      <c r="L300" s="102" t="n">
        <v>16064.09</v>
      </c>
      <c r="M300" s="103" t="n">
        <v>0.1959</v>
      </c>
      <c r="N300" s="104" t="n">
        <v>0.804129570294582</v>
      </c>
      <c r="O300" s="105" t="inlineStr">
        <is>
          <t>Under</t>
        </is>
      </c>
      <c r="P300" s="69" t="inlineStr">
        <is>
          <t>On Track</t>
        </is>
      </c>
    </row>
    <row r="301" ht="16" customHeight="1">
      <c r="A301" s="106" t="inlineStr">
        <is>
          <t>CC-00300</t>
        </is>
      </c>
      <c r="B301" s="71" t="inlineStr">
        <is>
          <t>EVT-2025-028</t>
        </is>
      </c>
      <c r="C301" s="70" t="inlineStr">
        <is>
          <t>Nexolimab KOL Meeting Milan Jul 2025</t>
        </is>
      </c>
      <c r="D301" s="70" t="inlineStr">
        <is>
          <t>Oncology</t>
        </is>
      </c>
      <c r="E301" s="70" t="inlineStr">
        <is>
          <t>BU Oncology</t>
        </is>
      </c>
      <c r="F301" s="71" t="inlineStr">
        <is>
          <t>Venue</t>
        </is>
      </c>
      <c r="G301" s="71" t="inlineStr">
        <is>
          <t>Jul-2025</t>
        </is>
      </c>
      <c r="H301" s="71" t="inlineStr">
        <is>
          <t>Q3 2025</t>
        </is>
      </c>
      <c r="I301" s="73" t="n">
        <v>68344.88</v>
      </c>
      <c r="J301" s="73" t="n">
        <v>47290.52</v>
      </c>
      <c r="K301" s="73" t="n">
        <v>40735.04</v>
      </c>
      <c r="L301" s="80" t="n">
        <v>21054.36</v>
      </c>
      <c r="M301" s="78" t="n">
        <v>0.3081</v>
      </c>
      <c r="N301" s="107" t="n">
        <v>0.6919394693501546</v>
      </c>
      <c r="O301" s="108" t="inlineStr">
        <is>
          <t>Under</t>
        </is>
      </c>
      <c r="P301" s="69" t="inlineStr">
        <is>
          <t>On Track</t>
        </is>
      </c>
    </row>
    <row r="302" ht="16" customHeight="1">
      <c r="A302" s="98" t="inlineStr">
        <is>
          <t>CC-00301</t>
        </is>
      </c>
      <c r="B302" s="99" t="inlineStr">
        <is>
          <t>EVT-2025-028</t>
        </is>
      </c>
      <c r="C302" s="100" t="inlineStr">
        <is>
          <t>Nexolimab KOL Meeting Milan Jul 2025</t>
        </is>
      </c>
      <c r="D302" s="100" t="inlineStr">
        <is>
          <t>Oncology</t>
        </is>
      </c>
      <c r="E302" s="100" t="inlineStr">
        <is>
          <t>BU Oncology</t>
        </is>
      </c>
      <c r="F302" s="99" t="inlineStr">
        <is>
          <t>F&amp;B</t>
        </is>
      </c>
      <c r="G302" s="99" t="inlineStr">
        <is>
          <t>Jul-2025</t>
        </is>
      </c>
      <c r="H302" s="99" t="inlineStr">
        <is>
          <t>Q3 2025</t>
        </is>
      </c>
      <c r="I302" s="101" t="n">
        <v>54675.91</v>
      </c>
      <c r="J302" s="101" t="n">
        <v>39393.12</v>
      </c>
      <c r="K302" s="101" t="n">
        <v>30238.29</v>
      </c>
      <c r="L302" s="102" t="n">
        <v>15282.79</v>
      </c>
      <c r="M302" s="103" t="n">
        <v>0.2795</v>
      </c>
      <c r="N302" s="104" t="n">
        <v>0.7204840303526727</v>
      </c>
      <c r="O302" s="105" t="inlineStr">
        <is>
          <t>Under</t>
        </is>
      </c>
      <c r="P302" s="69" t="inlineStr">
        <is>
          <t>On Track</t>
        </is>
      </c>
    </row>
    <row r="303" ht="16" customHeight="1">
      <c r="A303" s="106" t="inlineStr">
        <is>
          <t>CC-00302</t>
        </is>
      </c>
      <c r="B303" s="71" t="inlineStr">
        <is>
          <t>EVT-2025-028</t>
        </is>
      </c>
      <c r="C303" s="70" t="inlineStr">
        <is>
          <t>Nexolimab KOL Meeting Milan Jul 2025</t>
        </is>
      </c>
      <c r="D303" s="70" t="inlineStr">
        <is>
          <t>Oncology</t>
        </is>
      </c>
      <c r="E303" s="70" t="inlineStr">
        <is>
          <t>BU Oncology</t>
        </is>
      </c>
      <c r="F303" s="71" t="inlineStr">
        <is>
          <t>Logistics</t>
        </is>
      </c>
      <c r="G303" s="71" t="inlineStr">
        <is>
          <t>Jul-2025</t>
        </is>
      </c>
      <c r="H303" s="71" t="inlineStr">
        <is>
          <t>Q3 2025</t>
        </is>
      </c>
      <c r="I303" s="73" t="n">
        <v>27337.95</v>
      </c>
      <c r="J303" s="73" t="n">
        <v>28124.48</v>
      </c>
      <c r="K303" s="73" t="n">
        <v>20905.08</v>
      </c>
      <c r="L303" s="74" t="n">
        <v>-786.53</v>
      </c>
      <c r="M303" s="78" t="n">
        <v>-0.0288</v>
      </c>
      <c r="N303" s="107" t="n">
        <v>1.028770628375573</v>
      </c>
      <c r="O303" s="112" t="inlineStr">
        <is>
          <t>Over</t>
        </is>
      </c>
      <c r="P303" s="69" t="inlineStr">
        <is>
          <t>On Track</t>
        </is>
      </c>
    </row>
    <row r="304" ht="16" customHeight="1">
      <c r="A304" s="98" t="inlineStr">
        <is>
          <t>CC-00303</t>
        </is>
      </c>
      <c r="B304" s="99" t="inlineStr">
        <is>
          <t>EVT-2025-028</t>
        </is>
      </c>
      <c r="C304" s="100" t="inlineStr">
        <is>
          <t>Nexolimab KOL Meeting Milan Jul 2025</t>
        </is>
      </c>
      <c r="D304" s="100" t="inlineStr">
        <is>
          <t>Oncology</t>
        </is>
      </c>
      <c r="E304" s="100" t="inlineStr">
        <is>
          <t>BU Oncology</t>
        </is>
      </c>
      <c r="F304" s="99" t="inlineStr">
        <is>
          <t>AV &amp; Technology</t>
        </is>
      </c>
      <c r="G304" s="99" t="inlineStr">
        <is>
          <t>Jul-2025</t>
        </is>
      </c>
      <c r="H304" s="99" t="inlineStr">
        <is>
          <t>Q3 2025</t>
        </is>
      </c>
      <c r="I304" s="101" t="n">
        <v>36450.6</v>
      </c>
      <c r="J304" s="101" t="n">
        <v>30309.13</v>
      </c>
      <c r="K304" s="101" t="n">
        <v>21740.35</v>
      </c>
      <c r="L304" s="102" t="n">
        <v>6141.47</v>
      </c>
      <c r="M304" s="103" t="n">
        <v>0.1685</v>
      </c>
      <c r="N304" s="104" t="n">
        <v>0.8315125128255777</v>
      </c>
      <c r="O304" s="105" t="inlineStr">
        <is>
          <t>Under</t>
        </is>
      </c>
      <c r="P304" s="69" t="inlineStr">
        <is>
          <t>On Track</t>
        </is>
      </c>
    </row>
    <row r="305" ht="16" customHeight="1">
      <c r="A305" s="106" t="inlineStr">
        <is>
          <t>CC-00304</t>
        </is>
      </c>
      <c r="B305" s="71" t="inlineStr">
        <is>
          <t>EVT-2025-028</t>
        </is>
      </c>
      <c r="C305" s="70" t="inlineStr">
        <is>
          <t>Nexolimab KOL Meeting Milan Jul 2025</t>
        </is>
      </c>
      <c r="D305" s="70" t="inlineStr">
        <is>
          <t>Oncology</t>
        </is>
      </c>
      <c r="E305" s="70" t="inlineStr">
        <is>
          <t>BU Oncology</t>
        </is>
      </c>
      <c r="F305" s="71" t="inlineStr">
        <is>
          <t>Agency Fees</t>
        </is>
      </c>
      <c r="G305" s="71" t="inlineStr">
        <is>
          <t>Jul-2025</t>
        </is>
      </c>
      <c r="H305" s="71" t="inlineStr">
        <is>
          <t>Q3 2025</t>
        </is>
      </c>
      <c r="I305" s="73" t="n">
        <v>63788.56</v>
      </c>
      <c r="J305" s="73" t="n">
        <v>51435.19</v>
      </c>
      <c r="K305" s="73" t="n">
        <v>42431.58</v>
      </c>
      <c r="L305" s="80" t="n">
        <v>12353.37</v>
      </c>
      <c r="M305" s="78" t="n">
        <v>0.1937</v>
      </c>
      <c r="N305" s="107" t="n">
        <v>0.8063387855126375</v>
      </c>
      <c r="O305" s="108" t="inlineStr">
        <is>
          <t>Under</t>
        </is>
      </c>
      <c r="P305" s="69" t="inlineStr">
        <is>
          <t>On Track</t>
        </is>
      </c>
    </row>
    <row r="306" ht="16" customHeight="1">
      <c r="A306" s="98" t="inlineStr">
        <is>
          <t>CC-00305</t>
        </is>
      </c>
      <c r="B306" s="99" t="inlineStr">
        <is>
          <t>EVT-2025-028</t>
        </is>
      </c>
      <c r="C306" s="100" t="inlineStr">
        <is>
          <t>Nexolimab KOL Meeting Milan Jul 2025</t>
        </is>
      </c>
      <c r="D306" s="100" t="inlineStr">
        <is>
          <t>Oncology</t>
        </is>
      </c>
      <c r="E306" s="100" t="inlineStr">
        <is>
          <t>BU Oncology</t>
        </is>
      </c>
      <c r="F306" s="99" t="inlineStr">
        <is>
          <t>Speaker Fees</t>
        </is>
      </c>
      <c r="G306" s="99" t="inlineStr">
        <is>
          <t>Jul-2025</t>
        </is>
      </c>
      <c r="H306" s="99" t="inlineStr">
        <is>
          <t>Q3 2025</t>
        </is>
      </c>
      <c r="I306" s="101" t="n">
        <v>45563.26</v>
      </c>
      <c r="J306" s="101" t="n">
        <v>39412.03</v>
      </c>
      <c r="K306" s="101" t="n">
        <v>32180.94</v>
      </c>
      <c r="L306" s="102" t="n">
        <v>6151.23</v>
      </c>
      <c r="M306" s="103" t="n">
        <v>0.135</v>
      </c>
      <c r="N306" s="104" t="n">
        <v>0.8649958321682863</v>
      </c>
      <c r="O306" s="105" t="inlineStr">
        <is>
          <t>Under</t>
        </is>
      </c>
      <c r="P306" s="69" t="inlineStr">
        <is>
          <t>On Track</t>
        </is>
      </c>
    </row>
    <row r="307" ht="16" customHeight="1">
      <c r="A307" s="106" t="inlineStr">
        <is>
          <t>CC-00306</t>
        </is>
      </c>
      <c r="B307" s="71" t="inlineStr">
        <is>
          <t>EVT-2025-028</t>
        </is>
      </c>
      <c r="C307" s="70" t="inlineStr">
        <is>
          <t>Nexolimab KOL Meeting Milan Jul 2025</t>
        </is>
      </c>
      <c r="D307" s="70" t="inlineStr">
        <is>
          <t>Oncology</t>
        </is>
      </c>
      <c r="E307" s="70" t="inlineStr">
        <is>
          <t>BU Oncology</t>
        </is>
      </c>
      <c r="F307" s="71" t="inlineStr">
        <is>
          <t>Translation</t>
        </is>
      </c>
      <c r="G307" s="71" t="inlineStr">
        <is>
          <t>Jul-2025</t>
        </is>
      </c>
      <c r="H307" s="71" t="inlineStr">
        <is>
          <t>Q3 2025</t>
        </is>
      </c>
      <c r="I307" s="73" t="n">
        <v>13668.98</v>
      </c>
      <c r="J307" s="73" t="n">
        <v>9944.15</v>
      </c>
      <c r="K307" s="73" t="n">
        <v>7946.16</v>
      </c>
      <c r="L307" s="80" t="n">
        <v>3724.83</v>
      </c>
      <c r="M307" s="78" t="n">
        <v>0.2725</v>
      </c>
      <c r="N307" s="107" t="n">
        <v>0.7274975894324229</v>
      </c>
      <c r="O307" s="108" t="inlineStr">
        <is>
          <t>Under</t>
        </is>
      </c>
      <c r="P307" s="69" t="inlineStr">
        <is>
          <t>On Track</t>
        </is>
      </c>
    </row>
    <row r="308" ht="16" customHeight="1">
      <c r="A308" s="98" t="inlineStr">
        <is>
          <t>CC-00307</t>
        </is>
      </c>
      <c r="B308" s="99" t="inlineStr">
        <is>
          <t>EVT-2025-028</t>
        </is>
      </c>
      <c r="C308" s="100" t="inlineStr">
        <is>
          <t>Nexolimab KOL Meeting Milan Jul 2025</t>
        </is>
      </c>
      <c r="D308" s="100" t="inlineStr">
        <is>
          <t>Oncology</t>
        </is>
      </c>
      <c r="E308" s="100" t="inlineStr">
        <is>
          <t>BU Oncology</t>
        </is>
      </c>
      <c r="F308" s="99" t="inlineStr">
        <is>
          <t>Print &amp; Production</t>
        </is>
      </c>
      <c r="G308" s="99" t="inlineStr">
        <is>
          <t>Jul-2025</t>
        </is>
      </c>
      <c r="H308" s="99" t="inlineStr">
        <is>
          <t>Q3 2025</t>
        </is>
      </c>
      <c r="I308" s="101" t="n">
        <v>9112.65</v>
      </c>
      <c r="J308" s="101" t="n">
        <v>5827.86</v>
      </c>
      <c r="K308" s="101" t="n">
        <v>4865.89</v>
      </c>
      <c r="L308" s="102" t="n">
        <v>3284.79</v>
      </c>
      <c r="M308" s="103" t="n">
        <v>0.3605</v>
      </c>
      <c r="N308" s="104" t="n">
        <v>0.639535151684746</v>
      </c>
      <c r="O308" s="105" t="inlineStr">
        <is>
          <t>Under</t>
        </is>
      </c>
      <c r="P308" s="69" t="inlineStr">
        <is>
          <t>On Track</t>
        </is>
      </c>
    </row>
    <row r="309" ht="16" customHeight="1">
      <c r="A309" s="106" t="inlineStr">
        <is>
          <t>CC-00308</t>
        </is>
      </c>
      <c r="B309" s="71" t="inlineStr">
        <is>
          <t>EVT-2025-028</t>
        </is>
      </c>
      <c r="C309" s="70" t="inlineStr">
        <is>
          <t>Nexolimab KOL Meeting Milan Jul 2025</t>
        </is>
      </c>
      <c r="D309" s="70" t="inlineStr">
        <is>
          <t>Oncology</t>
        </is>
      </c>
      <c r="E309" s="70" t="inlineStr">
        <is>
          <t>BU Oncology</t>
        </is>
      </c>
      <c r="F309" s="71" t="inlineStr">
        <is>
          <t>Miscellaneous</t>
        </is>
      </c>
      <c r="G309" s="71" t="inlineStr">
        <is>
          <t>Jul-2025</t>
        </is>
      </c>
      <c r="H309" s="71" t="inlineStr">
        <is>
          <t>Q3 2025</t>
        </is>
      </c>
      <c r="I309" s="73" t="n">
        <v>9112.65</v>
      </c>
      <c r="J309" s="73" t="n">
        <v>7158.34</v>
      </c>
      <c r="K309" s="73" t="n">
        <v>6161.12</v>
      </c>
      <c r="L309" s="80" t="n">
        <v>1954.31</v>
      </c>
      <c r="M309" s="78" t="n">
        <v>0.2145</v>
      </c>
      <c r="N309" s="107" t="n">
        <v>0.7855387839980686</v>
      </c>
      <c r="O309" s="108" t="inlineStr">
        <is>
          <t>Under</t>
        </is>
      </c>
      <c r="P309" s="69" t="inlineStr">
        <is>
          <t>On Track</t>
        </is>
      </c>
    </row>
    <row r="310" ht="16" customHeight="1">
      <c r="A310" s="98" t="inlineStr">
        <is>
          <t>CC-00309</t>
        </is>
      </c>
      <c r="B310" s="99" t="inlineStr">
        <is>
          <t>EVT-2025-029</t>
        </is>
      </c>
      <c r="C310" s="100" t="inlineStr">
        <is>
          <t>Axotrin Congress Lisbon May 2025</t>
        </is>
      </c>
      <c r="D310" s="100" t="inlineStr">
        <is>
          <t>Neurology</t>
        </is>
      </c>
      <c r="E310" s="100" t="inlineStr">
        <is>
          <t>BU Neuroscience</t>
        </is>
      </c>
      <c r="F310" s="99" t="inlineStr">
        <is>
          <t>Airfare</t>
        </is>
      </c>
      <c r="G310" s="99" t="inlineStr">
        <is>
          <t>May-2025</t>
        </is>
      </c>
      <c r="H310" s="99" t="inlineStr">
        <is>
          <t>Q2 2025</t>
        </is>
      </c>
      <c r="I310" s="101" t="n">
        <v>54163.76</v>
      </c>
      <c r="J310" s="101" t="n">
        <v>54960.14</v>
      </c>
      <c r="K310" s="101" t="n">
        <v>39321.84</v>
      </c>
      <c r="L310" s="109" t="n">
        <v>-796.38</v>
      </c>
      <c r="M310" s="103" t="n">
        <v>-0.0147</v>
      </c>
      <c r="N310" s="104" t="n">
        <v>1.014703188995742</v>
      </c>
      <c r="O310" s="111" t="inlineStr">
        <is>
          <t>Over</t>
        </is>
      </c>
      <c r="P310" s="69" t="inlineStr">
        <is>
          <t>On Track</t>
        </is>
      </c>
    </row>
    <row r="311" ht="16" customHeight="1">
      <c r="A311" s="106" t="inlineStr">
        <is>
          <t>CC-00310</t>
        </is>
      </c>
      <c r="B311" s="71" t="inlineStr">
        <is>
          <t>EVT-2025-029</t>
        </is>
      </c>
      <c r="C311" s="70" t="inlineStr">
        <is>
          <t>Axotrin Congress Lisbon May 2025</t>
        </is>
      </c>
      <c r="D311" s="70" t="inlineStr">
        <is>
          <t>Neurology</t>
        </is>
      </c>
      <c r="E311" s="70" t="inlineStr">
        <is>
          <t>BU Neuroscience</t>
        </is>
      </c>
      <c r="F311" s="71" t="inlineStr">
        <is>
          <t>Hotel</t>
        </is>
      </c>
      <c r="G311" s="71" t="inlineStr">
        <is>
          <t>May-2025</t>
        </is>
      </c>
      <c r="H311" s="71" t="inlineStr">
        <is>
          <t>Q2 2025</t>
        </is>
      </c>
      <c r="I311" s="73" t="n">
        <v>97494.77</v>
      </c>
      <c r="J311" s="73" t="n">
        <v>76882.81</v>
      </c>
      <c r="K311" s="73" t="n">
        <v>67771.49000000001</v>
      </c>
      <c r="L311" s="80" t="n">
        <v>20611.96</v>
      </c>
      <c r="M311" s="78" t="n">
        <v>0.2114</v>
      </c>
      <c r="N311" s="107" t="n">
        <v>0.7885839414770658</v>
      </c>
      <c r="O311" s="108" t="inlineStr">
        <is>
          <t>Under</t>
        </is>
      </c>
      <c r="P311" s="69" t="inlineStr">
        <is>
          <t>On Track</t>
        </is>
      </c>
    </row>
    <row r="312" ht="16" customHeight="1">
      <c r="A312" s="98" t="inlineStr">
        <is>
          <t>CC-00311</t>
        </is>
      </c>
      <c r="B312" s="99" t="inlineStr">
        <is>
          <t>EVT-2025-029</t>
        </is>
      </c>
      <c r="C312" s="100" t="inlineStr">
        <is>
          <t>Axotrin Congress Lisbon May 2025</t>
        </is>
      </c>
      <c r="D312" s="100" t="inlineStr">
        <is>
          <t>Neurology</t>
        </is>
      </c>
      <c r="E312" s="100" t="inlineStr">
        <is>
          <t>BU Neuroscience</t>
        </is>
      </c>
      <c r="F312" s="99" t="inlineStr">
        <is>
          <t>Venue</t>
        </is>
      </c>
      <c r="G312" s="99" t="inlineStr">
        <is>
          <t>May-2025</t>
        </is>
      </c>
      <c r="H312" s="99" t="inlineStr">
        <is>
          <t>Q2 2025</t>
        </is>
      </c>
      <c r="I312" s="101" t="n">
        <v>81245.64</v>
      </c>
      <c r="J312" s="101" t="n">
        <v>50353.92</v>
      </c>
      <c r="K312" s="101" t="n">
        <v>36347.24</v>
      </c>
      <c r="L312" s="102" t="n">
        <v>30891.72</v>
      </c>
      <c r="M312" s="103" t="n">
        <v>0.3802</v>
      </c>
      <c r="N312" s="104" t="n">
        <v>0.6197738118623966</v>
      </c>
      <c r="O312" s="105" t="inlineStr">
        <is>
          <t>Under</t>
        </is>
      </c>
      <c r="P312" s="69" t="inlineStr">
        <is>
          <t>On Track</t>
        </is>
      </c>
    </row>
    <row r="313" ht="16" customHeight="1">
      <c r="A313" s="106" t="inlineStr">
        <is>
          <t>CC-00312</t>
        </is>
      </c>
      <c r="B313" s="71" t="inlineStr">
        <is>
          <t>EVT-2025-029</t>
        </is>
      </c>
      <c r="C313" s="70" t="inlineStr">
        <is>
          <t>Axotrin Congress Lisbon May 2025</t>
        </is>
      </c>
      <c r="D313" s="70" t="inlineStr">
        <is>
          <t>Neurology</t>
        </is>
      </c>
      <c r="E313" s="70" t="inlineStr">
        <is>
          <t>BU Neuroscience</t>
        </is>
      </c>
      <c r="F313" s="71" t="inlineStr">
        <is>
          <t>F&amp;B</t>
        </is>
      </c>
      <c r="G313" s="71" t="inlineStr">
        <is>
          <t>May-2025</t>
        </is>
      </c>
      <c r="H313" s="71" t="inlineStr">
        <is>
          <t>Q2 2025</t>
        </is>
      </c>
      <c r="I313" s="73" t="n">
        <v>64996.51</v>
      </c>
      <c r="J313" s="73" t="n">
        <v>65147.65</v>
      </c>
      <c r="K313" s="73" t="n">
        <v>57087.26</v>
      </c>
      <c r="L313" s="74" t="n">
        <v>-151.14</v>
      </c>
      <c r="M313" s="78" t="n">
        <v>-0.0023</v>
      </c>
      <c r="N313" s="107" t="n">
        <v>1.00232535562294</v>
      </c>
      <c r="O313" s="112" t="inlineStr">
        <is>
          <t>Over</t>
        </is>
      </c>
      <c r="P313" s="69" t="inlineStr">
        <is>
          <t>On Track</t>
        </is>
      </c>
    </row>
    <row r="314" ht="16" customHeight="1">
      <c r="A314" s="98" t="inlineStr">
        <is>
          <t>CC-00313</t>
        </is>
      </c>
      <c r="B314" s="99" t="inlineStr">
        <is>
          <t>EVT-2025-029</t>
        </is>
      </c>
      <c r="C314" s="100" t="inlineStr">
        <is>
          <t>Axotrin Congress Lisbon May 2025</t>
        </is>
      </c>
      <c r="D314" s="100" t="inlineStr">
        <is>
          <t>Neurology</t>
        </is>
      </c>
      <c r="E314" s="100" t="inlineStr">
        <is>
          <t>BU Neuroscience</t>
        </is>
      </c>
      <c r="F314" s="99" t="inlineStr">
        <is>
          <t>Logistics</t>
        </is>
      </c>
      <c r="G314" s="99" t="inlineStr">
        <is>
          <t>May-2025</t>
        </is>
      </c>
      <c r="H314" s="99" t="inlineStr">
        <is>
          <t>Q2 2025</t>
        </is>
      </c>
      <c r="I314" s="101" t="n">
        <v>32498.26</v>
      </c>
      <c r="J314" s="101" t="n">
        <v>30409.44</v>
      </c>
      <c r="K314" s="101" t="n">
        <v>23266.41</v>
      </c>
      <c r="L314" s="102" t="n">
        <v>2088.82</v>
      </c>
      <c r="M314" s="103" t="n">
        <v>0.0643</v>
      </c>
      <c r="N314" s="104" t="n">
        <v>0.9357251742093269</v>
      </c>
      <c r="O314" s="105" t="inlineStr">
        <is>
          <t>Under</t>
        </is>
      </c>
      <c r="P314" s="69" t="inlineStr">
        <is>
          <t>On Track</t>
        </is>
      </c>
    </row>
    <row r="315" ht="16" customHeight="1">
      <c r="A315" s="106" t="inlineStr">
        <is>
          <t>CC-00314</t>
        </is>
      </c>
      <c r="B315" s="71" t="inlineStr">
        <is>
          <t>EVT-2025-029</t>
        </is>
      </c>
      <c r="C315" s="70" t="inlineStr">
        <is>
          <t>Axotrin Congress Lisbon May 2025</t>
        </is>
      </c>
      <c r="D315" s="70" t="inlineStr">
        <is>
          <t>Neurology</t>
        </is>
      </c>
      <c r="E315" s="70" t="inlineStr">
        <is>
          <t>BU Neuroscience</t>
        </is>
      </c>
      <c r="F315" s="71" t="inlineStr">
        <is>
          <t>AV &amp; Technology</t>
        </is>
      </c>
      <c r="G315" s="71" t="inlineStr">
        <is>
          <t>May-2025</t>
        </is>
      </c>
      <c r="H315" s="71" t="inlineStr">
        <is>
          <t>Q2 2025</t>
        </is>
      </c>
      <c r="I315" s="73" t="n">
        <v>43331.01</v>
      </c>
      <c r="J315" s="73" t="n">
        <v>30524.29</v>
      </c>
      <c r="K315" s="73" t="n">
        <v>29672.96</v>
      </c>
      <c r="L315" s="80" t="n">
        <v>12806.72</v>
      </c>
      <c r="M315" s="78" t="n">
        <v>0.2956</v>
      </c>
      <c r="N315" s="107" t="n">
        <v>0.7044444613684288</v>
      </c>
      <c r="O315" s="108" t="inlineStr">
        <is>
          <t>Under</t>
        </is>
      </c>
      <c r="P315" s="69" t="inlineStr">
        <is>
          <t>On Track</t>
        </is>
      </c>
    </row>
    <row r="316" ht="16" customHeight="1">
      <c r="A316" s="98" t="inlineStr">
        <is>
          <t>CC-00315</t>
        </is>
      </c>
      <c r="B316" s="99" t="inlineStr">
        <is>
          <t>EVT-2025-029</t>
        </is>
      </c>
      <c r="C316" s="100" t="inlineStr">
        <is>
          <t>Axotrin Congress Lisbon May 2025</t>
        </is>
      </c>
      <c r="D316" s="100" t="inlineStr">
        <is>
          <t>Neurology</t>
        </is>
      </c>
      <c r="E316" s="100" t="inlineStr">
        <is>
          <t>BU Neuroscience</t>
        </is>
      </c>
      <c r="F316" s="99" t="inlineStr">
        <is>
          <t>Agency Fees</t>
        </is>
      </c>
      <c r="G316" s="99" t="inlineStr">
        <is>
          <t>May-2025</t>
        </is>
      </c>
      <c r="H316" s="99" t="inlineStr">
        <is>
          <t>Q2 2025</t>
        </is>
      </c>
      <c r="I316" s="101" t="n">
        <v>75829.25999999999</v>
      </c>
      <c r="J316" s="101" t="n">
        <v>56992.82</v>
      </c>
      <c r="K316" s="101" t="n">
        <v>55436.82</v>
      </c>
      <c r="L316" s="102" t="n">
        <v>18836.44</v>
      </c>
      <c r="M316" s="103" t="n">
        <v>0.2484</v>
      </c>
      <c r="N316" s="104" t="n">
        <v>0.7515940416667656</v>
      </c>
      <c r="O316" s="105" t="inlineStr">
        <is>
          <t>Under</t>
        </is>
      </c>
      <c r="P316" s="69" t="inlineStr">
        <is>
          <t>On Track</t>
        </is>
      </c>
    </row>
    <row r="317" ht="16" customHeight="1">
      <c r="A317" s="106" t="inlineStr">
        <is>
          <t>CC-00316</t>
        </is>
      </c>
      <c r="B317" s="71" t="inlineStr">
        <is>
          <t>EVT-2025-029</t>
        </is>
      </c>
      <c r="C317" s="70" t="inlineStr">
        <is>
          <t>Axotrin Congress Lisbon May 2025</t>
        </is>
      </c>
      <c r="D317" s="70" t="inlineStr">
        <is>
          <t>Neurology</t>
        </is>
      </c>
      <c r="E317" s="70" t="inlineStr">
        <is>
          <t>BU Neuroscience</t>
        </is>
      </c>
      <c r="F317" s="71" t="inlineStr">
        <is>
          <t>Speaker Fees</t>
        </is>
      </c>
      <c r="G317" s="71" t="inlineStr">
        <is>
          <t>May-2025</t>
        </is>
      </c>
      <c r="H317" s="71" t="inlineStr">
        <is>
          <t>Q2 2025</t>
        </is>
      </c>
      <c r="I317" s="73" t="n">
        <v>54163.76</v>
      </c>
      <c r="J317" s="73" t="n">
        <v>38234.41</v>
      </c>
      <c r="K317" s="73" t="n">
        <v>28943.72</v>
      </c>
      <c r="L317" s="80" t="n">
        <v>15929.35</v>
      </c>
      <c r="M317" s="78" t="n">
        <v>0.2941</v>
      </c>
      <c r="N317" s="107" t="n">
        <v>0.7059039106590828</v>
      </c>
      <c r="O317" s="108" t="inlineStr">
        <is>
          <t>Under</t>
        </is>
      </c>
      <c r="P317" s="69" t="inlineStr">
        <is>
          <t>On Track</t>
        </is>
      </c>
    </row>
    <row r="318" ht="16" customHeight="1">
      <c r="A318" s="98" t="inlineStr">
        <is>
          <t>CC-00317</t>
        </is>
      </c>
      <c r="B318" s="99" t="inlineStr">
        <is>
          <t>EVT-2025-029</t>
        </is>
      </c>
      <c r="C318" s="100" t="inlineStr">
        <is>
          <t>Axotrin Congress Lisbon May 2025</t>
        </is>
      </c>
      <c r="D318" s="100" t="inlineStr">
        <is>
          <t>Neurology</t>
        </is>
      </c>
      <c r="E318" s="100" t="inlineStr">
        <is>
          <t>BU Neuroscience</t>
        </is>
      </c>
      <c r="F318" s="99" t="inlineStr">
        <is>
          <t>Translation</t>
        </is>
      </c>
      <c r="G318" s="99" t="inlineStr">
        <is>
          <t>May-2025</t>
        </is>
      </c>
      <c r="H318" s="99" t="inlineStr">
        <is>
          <t>Q2 2025</t>
        </is>
      </c>
      <c r="I318" s="101" t="n">
        <v>16249.13</v>
      </c>
      <c r="J318" s="101" t="n">
        <v>15773.64</v>
      </c>
      <c r="K318" s="101" t="n">
        <v>14575.85</v>
      </c>
      <c r="L318" s="102" t="n">
        <v>475.49</v>
      </c>
      <c r="M318" s="103" t="n">
        <v>0.0293</v>
      </c>
      <c r="N318" s="104" t="n">
        <v>0.9707375102543951</v>
      </c>
      <c r="O318" s="105" t="inlineStr">
        <is>
          <t>Under</t>
        </is>
      </c>
      <c r="P318" s="69" t="inlineStr">
        <is>
          <t>On Track</t>
        </is>
      </c>
    </row>
    <row r="319" ht="16" customHeight="1">
      <c r="A319" s="106" t="inlineStr">
        <is>
          <t>CC-00318</t>
        </is>
      </c>
      <c r="B319" s="71" t="inlineStr">
        <is>
          <t>EVT-2025-029</t>
        </is>
      </c>
      <c r="C319" s="70" t="inlineStr">
        <is>
          <t>Axotrin Congress Lisbon May 2025</t>
        </is>
      </c>
      <c r="D319" s="70" t="inlineStr">
        <is>
          <t>Neurology</t>
        </is>
      </c>
      <c r="E319" s="70" t="inlineStr">
        <is>
          <t>BU Neuroscience</t>
        </is>
      </c>
      <c r="F319" s="71" t="inlineStr">
        <is>
          <t>Print &amp; Production</t>
        </is>
      </c>
      <c r="G319" s="71" t="inlineStr">
        <is>
          <t>May-2025</t>
        </is>
      </c>
      <c r="H319" s="71" t="inlineStr">
        <is>
          <t>Q2 2025</t>
        </is>
      </c>
      <c r="I319" s="73" t="n">
        <v>10832.75</v>
      </c>
      <c r="J319" s="73" t="n">
        <v>10585.39</v>
      </c>
      <c r="K319" s="73" t="n">
        <v>10313.69</v>
      </c>
      <c r="L319" s="80" t="n">
        <v>247.36</v>
      </c>
      <c r="M319" s="78" t="n">
        <v>0.0228</v>
      </c>
      <c r="N319" s="107" t="n">
        <v>0.977165539682906</v>
      </c>
      <c r="O319" s="108" t="inlineStr">
        <is>
          <t>Under</t>
        </is>
      </c>
      <c r="P319" s="69" t="inlineStr">
        <is>
          <t>On Track</t>
        </is>
      </c>
    </row>
    <row r="320" ht="16" customHeight="1">
      <c r="A320" s="98" t="inlineStr">
        <is>
          <t>CC-00319</t>
        </is>
      </c>
      <c r="B320" s="99" t="inlineStr">
        <is>
          <t>EVT-2025-029</t>
        </is>
      </c>
      <c r="C320" s="100" t="inlineStr">
        <is>
          <t>Axotrin Congress Lisbon May 2025</t>
        </is>
      </c>
      <c r="D320" s="100" t="inlineStr">
        <is>
          <t>Neurology</t>
        </is>
      </c>
      <c r="E320" s="100" t="inlineStr">
        <is>
          <t>BU Neuroscience</t>
        </is>
      </c>
      <c r="F320" s="99" t="inlineStr">
        <is>
          <t>Miscellaneous</t>
        </is>
      </c>
      <c r="G320" s="99" t="inlineStr">
        <is>
          <t>May-2025</t>
        </is>
      </c>
      <c r="H320" s="99" t="inlineStr">
        <is>
          <t>Q2 2025</t>
        </is>
      </c>
      <c r="I320" s="101" t="n">
        <v>10832.75</v>
      </c>
      <c r="J320" s="101" t="n">
        <v>10267.42</v>
      </c>
      <c r="K320" s="101" t="n">
        <v>9354.959999999999</v>
      </c>
      <c r="L320" s="102" t="n">
        <v>565.33</v>
      </c>
      <c r="M320" s="103" t="n">
        <v>0.0522</v>
      </c>
      <c r="N320" s="104" t="n">
        <v>0.9478128822321202</v>
      </c>
      <c r="O320" s="105" t="inlineStr">
        <is>
          <t>Under</t>
        </is>
      </c>
      <c r="P320" s="69" t="inlineStr">
        <is>
          <t>On Track</t>
        </is>
      </c>
    </row>
    <row r="321" ht="16" customHeight="1">
      <c r="A321" s="106" t="inlineStr">
        <is>
          <t>CC-00320</t>
        </is>
      </c>
      <c r="B321" s="71" t="inlineStr">
        <is>
          <t>EVT-2025-030</t>
        </is>
      </c>
      <c r="C321" s="70" t="inlineStr">
        <is>
          <t>Gastroven KOL Meeting Copenhagen Apr 2025</t>
        </is>
      </c>
      <c r="D321" s="70" t="inlineStr">
        <is>
          <t>Gastroenterology</t>
        </is>
      </c>
      <c r="E321" s="70" t="inlineStr">
        <is>
          <t>BU Cardiovascular</t>
        </is>
      </c>
      <c r="F321" s="71" t="inlineStr">
        <is>
          <t>Airfare</t>
        </is>
      </c>
      <c r="G321" s="71" t="inlineStr">
        <is>
          <t>Apr-2025</t>
        </is>
      </c>
      <c r="H321" s="71" t="inlineStr">
        <is>
          <t>Q2 2025</t>
        </is>
      </c>
      <c r="I321" s="73" t="n">
        <v>4583.61</v>
      </c>
      <c r="J321" s="73" t="n">
        <v>3659.17</v>
      </c>
      <c r="K321" s="73" t="n">
        <v>2824.14</v>
      </c>
      <c r="L321" s="80" t="n">
        <v>924.4400000000001</v>
      </c>
      <c r="M321" s="78" t="n">
        <v>0.2017</v>
      </c>
      <c r="N321" s="107" t="n">
        <v>0.7983161743691108</v>
      </c>
      <c r="O321" s="108" t="inlineStr">
        <is>
          <t>Under</t>
        </is>
      </c>
      <c r="P321" s="69" t="inlineStr">
        <is>
          <t>On Track</t>
        </is>
      </c>
    </row>
    <row r="322" ht="16" customHeight="1">
      <c r="A322" s="98" t="inlineStr">
        <is>
          <t>CC-00321</t>
        </is>
      </c>
      <c r="B322" s="99" t="inlineStr">
        <is>
          <t>EVT-2025-030</t>
        </is>
      </c>
      <c r="C322" s="100" t="inlineStr">
        <is>
          <t>Gastroven KOL Meeting Copenhagen Apr 2025</t>
        </is>
      </c>
      <c r="D322" s="100" t="inlineStr">
        <is>
          <t>Gastroenterology</t>
        </is>
      </c>
      <c r="E322" s="100" t="inlineStr">
        <is>
          <t>BU Cardiovascular</t>
        </is>
      </c>
      <c r="F322" s="99" t="inlineStr">
        <is>
          <t>Hotel</t>
        </is>
      </c>
      <c r="G322" s="99" t="inlineStr">
        <is>
          <t>Apr-2025</t>
        </is>
      </c>
      <c r="H322" s="99" t="inlineStr">
        <is>
          <t>Q2 2025</t>
        </is>
      </c>
      <c r="I322" s="101" t="n">
        <v>8250.49</v>
      </c>
      <c r="J322" s="101" t="n">
        <v>6277.03</v>
      </c>
      <c r="K322" s="101" t="n">
        <v>4926.95</v>
      </c>
      <c r="L322" s="102" t="n">
        <v>1973.46</v>
      </c>
      <c r="M322" s="103" t="n">
        <v>0.2392</v>
      </c>
      <c r="N322" s="104" t="n">
        <v>0.7608069338911991</v>
      </c>
      <c r="O322" s="105" t="inlineStr">
        <is>
          <t>Under</t>
        </is>
      </c>
      <c r="P322" s="69" t="inlineStr">
        <is>
          <t>On Track</t>
        </is>
      </c>
    </row>
    <row r="323" ht="16" customHeight="1">
      <c r="A323" s="106" t="inlineStr">
        <is>
          <t>CC-00322</t>
        </is>
      </c>
      <c r="B323" s="71" t="inlineStr">
        <is>
          <t>EVT-2025-030</t>
        </is>
      </c>
      <c r="C323" s="70" t="inlineStr">
        <is>
          <t>Gastroven KOL Meeting Copenhagen Apr 2025</t>
        </is>
      </c>
      <c r="D323" s="70" t="inlineStr">
        <is>
          <t>Gastroenterology</t>
        </is>
      </c>
      <c r="E323" s="70" t="inlineStr">
        <is>
          <t>BU Cardiovascular</t>
        </is>
      </c>
      <c r="F323" s="71" t="inlineStr">
        <is>
          <t>Venue</t>
        </is>
      </c>
      <c r="G323" s="71" t="inlineStr">
        <is>
          <t>Apr-2025</t>
        </is>
      </c>
      <c r="H323" s="71" t="inlineStr">
        <is>
          <t>Q2 2025</t>
        </is>
      </c>
      <c r="I323" s="73" t="n">
        <v>6875.41</v>
      </c>
      <c r="J323" s="73" t="n">
        <v>5728.08</v>
      </c>
      <c r="K323" s="73" t="n">
        <v>5124.43</v>
      </c>
      <c r="L323" s="80" t="n">
        <v>1147.33</v>
      </c>
      <c r="M323" s="78" t="n">
        <v>0.1669</v>
      </c>
      <c r="N323" s="107" t="n">
        <v>0.8331255881467432</v>
      </c>
      <c r="O323" s="108" t="inlineStr">
        <is>
          <t>Under</t>
        </is>
      </c>
      <c r="P323" s="69" t="inlineStr">
        <is>
          <t>On Track</t>
        </is>
      </c>
    </row>
    <row r="324" ht="16" customHeight="1">
      <c r="A324" s="98" t="inlineStr">
        <is>
          <t>CC-00323</t>
        </is>
      </c>
      <c r="B324" s="99" t="inlineStr">
        <is>
          <t>EVT-2025-030</t>
        </is>
      </c>
      <c r="C324" s="100" t="inlineStr">
        <is>
          <t>Gastroven KOL Meeting Copenhagen Apr 2025</t>
        </is>
      </c>
      <c r="D324" s="100" t="inlineStr">
        <is>
          <t>Gastroenterology</t>
        </is>
      </c>
      <c r="E324" s="100" t="inlineStr">
        <is>
          <t>BU Cardiovascular</t>
        </is>
      </c>
      <c r="F324" s="99" t="inlineStr">
        <is>
          <t>F&amp;B</t>
        </is>
      </c>
      <c r="G324" s="99" t="inlineStr">
        <is>
          <t>Apr-2025</t>
        </is>
      </c>
      <c r="H324" s="99" t="inlineStr">
        <is>
          <t>Q2 2025</t>
        </is>
      </c>
      <c r="I324" s="101" t="n">
        <v>5500.33</v>
      </c>
      <c r="J324" s="101" t="n">
        <v>4148.41</v>
      </c>
      <c r="K324" s="101" t="n">
        <v>3351.47</v>
      </c>
      <c r="L324" s="102" t="n">
        <v>1351.92</v>
      </c>
      <c r="M324" s="103" t="n">
        <v>0.2458</v>
      </c>
      <c r="N324" s="104" t="n">
        <v>0.7542111109697054</v>
      </c>
      <c r="O324" s="105" t="inlineStr">
        <is>
          <t>Under</t>
        </is>
      </c>
      <c r="P324" s="69" t="inlineStr">
        <is>
          <t>On Track</t>
        </is>
      </c>
    </row>
    <row r="325" ht="16" customHeight="1">
      <c r="A325" s="106" t="inlineStr">
        <is>
          <t>CC-00324</t>
        </is>
      </c>
      <c r="B325" s="71" t="inlineStr">
        <is>
          <t>EVT-2025-030</t>
        </is>
      </c>
      <c r="C325" s="70" t="inlineStr">
        <is>
          <t>Gastroven KOL Meeting Copenhagen Apr 2025</t>
        </is>
      </c>
      <c r="D325" s="70" t="inlineStr">
        <is>
          <t>Gastroenterology</t>
        </is>
      </c>
      <c r="E325" s="70" t="inlineStr">
        <is>
          <t>BU Cardiovascular</t>
        </is>
      </c>
      <c r="F325" s="71" t="inlineStr">
        <is>
          <t>Logistics</t>
        </is>
      </c>
      <c r="G325" s="71" t="inlineStr">
        <is>
          <t>Apr-2025</t>
        </is>
      </c>
      <c r="H325" s="71" t="inlineStr">
        <is>
          <t>Q2 2025</t>
        </is>
      </c>
      <c r="I325" s="73" t="n">
        <v>2750.16</v>
      </c>
      <c r="J325" s="73" t="n">
        <v>2864.03</v>
      </c>
      <c r="K325" s="73" t="n">
        <v>2405.22</v>
      </c>
      <c r="L325" s="74" t="n">
        <v>-113.87</v>
      </c>
      <c r="M325" s="78" t="n">
        <v>-0.0414</v>
      </c>
      <c r="N325" s="107" t="n">
        <v>1.04140486371702</v>
      </c>
      <c r="O325" s="112" t="inlineStr">
        <is>
          <t>Over</t>
        </is>
      </c>
      <c r="P325" s="69" t="inlineStr">
        <is>
          <t>On Track</t>
        </is>
      </c>
    </row>
    <row r="326" ht="16" customHeight="1">
      <c r="A326" s="98" t="inlineStr">
        <is>
          <t>CC-00325</t>
        </is>
      </c>
      <c r="B326" s="99" t="inlineStr">
        <is>
          <t>EVT-2025-030</t>
        </is>
      </c>
      <c r="C326" s="100" t="inlineStr">
        <is>
          <t>Gastroven KOL Meeting Copenhagen Apr 2025</t>
        </is>
      </c>
      <c r="D326" s="100" t="inlineStr">
        <is>
          <t>Gastroenterology</t>
        </is>
      </c>
      <c r="E326" s="100" t="inlineStr">
        <is>
          <t>BU Cardiovascular</t>
        </is>
      </c>
      <c r="F326" s="99" t="inlineStr">
        <is>
          <t>AV &amp; Technology</t>
        </is>
      </c>
      <c r="G326" s="99" t="inlineStr">
        <is>
          <t>Apr-2025</t>
        </is>
      </c>
      <c r="H326" s="99" t="inlineStr">
        <is>
          <t>Q2 2025</t>
        </is>
      </c>
      <c r="I326" s="101" t="n">
        <v>3666.88</v>
      </c>
      <c r="J326" s="101" t="n">
        <v>3672.04</v>
      </c>
      <c r="K326" s="101" t="n">
        <v>3366.25</v>
      </c>
      <c r="L326" s="109" t="n">
        <v>-5.16</v>
      </c>
      <c r="M326" s="103" t="n">
        <v>-0.0014</v>
      </c>
      <c r="N326" s="104" t="n">
        <v>1.00140719085435</v>
      </c>
      <c r="O326" s="111" t="inlineStr">
        <is>
          <t>Over</t>
        </is>
      </c>
      <c r="P326" s="69" t="inlineStr">
        <is>
          <t>On Track</t>
        </is>
      </c>
    </row>
    <row r="327" ht="16" customHeight="1">
      <c r="A327" s="106" t="inlineStr">
        <is>
          <t>CC-00326</t>
        </is>
      </c>
      <c r="B327" s="71" t="inlineStr">
        <is>
          <t>EVT-2025-030</t>
        </is>
      </c>
      <c r="C327" s="70" t="inlineStr">
        <is>
          <t>Gastroven KOL Meeting Copenhagen Apr 2025</t>
        </is>
      </c>
      <c r="D327" s="70" t="inlineStr">
        <is>
          <t>Gastroenterology</t>
        </is>
      </c>
      <c r="E327" s="70" t="inlineStr">
        <is>
          <t>BU Cardiovascular</t>
        </is>
      </c>
      <c r="F327" s="71" t="inlineStr">
        <is>
          <t>Agency Fees</t>
        </is>
      </c>
      <c r="G327" s="71" t="inlineStr">
        <is>
          <t>Apr-2025</t>
        </is>
      </c>
      <c r="H327" s="71" t="inlineStr">
        <is>
          <t>Q2 2025</t>
        </is>
      </c>
      <c r="I327" s="73" t="n">
        <v>6417.05</v>
      </c>
      <c r="J327" s="73" t="n">
        <v>6293.94</v>
      </c>
      <c r="K327" s="73" t="n">
        <v>5010.42</v>
      </c>
      <c r="L327" s="80" t="n">
        <v>123.11</v>
      </c>
      <c r="M327" s="78" t="n">
        <v>0.0192</v>
      </c>
      <c r="N327" s="107" t="n">
        <v>0.9808151720806288</v>
      </c>
      <c r="O327" s="108" t="inlineStr">
        <is>
          <t>Under</t>
        </is>
      </c>
      <c r="P327" s="69" t="inlineStr">
        <is>
          <t>On Track</t>
        </is>
      </c>
    </row>
    <row r="328" ht="16" customHeight="1">
      <c r="A328" s="98" t="inlineStr">
        <is>
          <t>CC-00327</t>
        </is>
      </c>
      <c r="B328" s="99" t="inlineStr">
        <is>
          <t>EVT-2025-030</t>
        </is>
      </c>
      <c r="C328" s="100" t="inlineStr">
        <is>
          <t>Gastroven KOL Meeting Copenhagen Apr 2025</t>
        </is>
      </c>
      <c r="D328" s="100" t="inlineStr">
        <is>
          <t>Gastroenterology</t>
        </is>
      </c>
      <c r="E328" s="100" t="inlineStr">
        <is>
          <t>BU Cardiovascular</t>
        </is>
      </c>
      <c r="F328" s="99" t="inlineStr">
        <is>
          <t>Speaker Fees</t>
        </is>
      </c>
      <c r="G328" s="99" t="inlineStr">
        <is>
          <t>Apr-2025</t>
        </is>
      </c>
      <c r="H328" s="99" t="inlineStr">
        <is>
          <t>Q2 2025</t>
        </is>
      </c>
      <c r="I328" s="101" t="n">
        <v>4583.61</v>
      </c>
      <c r="J328" s="101" t="n">
        <v>3215.69</v>
      </c>
      <c r="K328" s="101" t="n">
        <v>2552.86</v>
      </c>
      <c r="L328" s="102" t="n">
        <v>1367.92</v>
      </c>
      <c r="M328" s="103" t="n">
        <v>0.2984</v>
      </c>
      <c r="N328" s="104" t="n">
        <v>0.7015627420308448</v>
      </c>
      <c r="O328" s="105" t="inlineStr">
        <is>
          <t>Under</t>
        </is>
      </c>
      <c r="P328" s="69" t="inlineStr">
        <is>
          <t>On Track</t>
        </is>
      </c>
    </row>
    <row r="329" ht="16" customHeight="1">
      <c r="A329" s="106" t="inlineStr">
        <is>
          <t>CC-00328</t>
        </is>
      </c>
      <c r="B329" s="71" t="inlineStr">
        <is>
          <t>EVT-2025-030</t>
        </is>
      </c>
      <c r="C329" s="70" t="inlineStr">
        <is>
          <t>Gastroven KOL Meeting Copenhagen Apr 2025</t>
        </is>
      </c>
      <c r="D329" s="70" t="inlineStr">
        <is>
          <t>Gastroenterology</t>
        </is>
      </c>
      <c r="E329" s="70" t="inlineStr">
        <is>
          <t>BU Cardiovascular</t>
        </is>
      </c>
      <c r="F329" s="71" t="inlineStr">
        <is>
          <t>Translation</t>
        </is>
      </c>
      <c r="G329" s="71" t="inlineStr">
        <is>
          <t>Apr-2025</t>
        </is>
      </c>
      <c r="H329" s="71" t="inlineStr">
        <is>
          <t>Q2 2025</t>
        </is>
      </c>
      <c r="I329" s="73" t="n">
        <v>1375.08</v>
      </c>
      <c r="J329" s="73" t="n">
        <v>856.48</v>
      </c>
      <c r="K329" s="73" t="n">
        <v>821.5599999999999</v>
      </c>
      <c r="L329" s="80" t="n">
        <v>518.6</v>
      </c>
      <c r="M329" s="78" t="n">
        <v>0.3771</v>
      </c>
      <c r="N329" s="107" t="n">
        <v>0.622858306425808</v>
      </c>
      <c r="O329" s="108" t="inlineStr">
        <is>
          <t>Under</t>
        </is>
      </c>
      <c r="P329" s="69" t="inlineStr">
        <is>
          <t>On Track</t>
        </is>
      </c>
    </row>
    <row r="330" ht="16" customHeight="1">
      <c r="A330" s="98" t="inlineStr">
        <is>
          <t>CC-00329</t>
        </is>
      </c>
      <c r="B330" s="99" t="inlineStr">
        <is>
          <t>EVT-2025-030</t>
        </is>
      </c>
      <c r="C330" s="100" t="inlineStr">
        <is>
          <t>Gastroven KOL Meeting Copenhagen Apr 2025</t>
        </is>
      </c>
      <c r="D330" s="100" t="inlineStr">
        <is>
          <t>Gastroenterology</t>
        </is>
      </c>
      <c r="E330" s="100" t="inlineStr">
        <is>
          <t>BU Cardiovascular</t>
        </is>
      </c>
      <c r="F330" s="99" t="inlineStr">
        <is>
          <t>Print &amp; Production</t>
        </is>
      </c>
      <c r="G330" s="99" t="inlineStr">
        <is>
          <t>Apr-2025</t>
        </is>
      </c>
      <c r="H330" s="99" t="inlineStr">
        <is>
          <t>Q2 2025</t>
        </is>
      </c>
      <c r="I330" s="101" t="n">
        <v>916.72</v>
      </c>
      <c r="J330" s="101" t="n">
        <v>889.79</v>
      </c>
      <c r="K330" s="101" t="n">
        <v>627.1799999999999</v>
      </c>
      <c r="L330" s="102" t="n">
        <v>26.93</v>
      </c>
      <c r="M330" s="103" t="n">
        <v>0.0294</v>
      </c>
      <c r="N330" s="104" t="n">
        <v>0.9706235273584082</v>
      </c>
      <c r="O330" s="105" t="inlineStr">
        <is>
          <t>Under</t>
        </is>
      </c>
      <c r="P330" s="69" t="inlineStr">
        <is>
          <t>On Track</t>
        </is>
      </c>
    </row>
    <row r="331" ht="16" customHeight="1">
      <c r="A331" s="106" t="inlineStr">
        <is>
          <t>CC-00330</t>
        </is>
      </c>
      <c r="B331" s="71" t="inlineStr">
        <is>
          <t>EVT-2025-030</t>
        </is>
      </c>
      <c r="C331" s="70" t="inlineStr">
        <is>
          <t>Gastroven KOL Meeting Copenhagen Apr 2025</t>
        </is>
      </c>
      <c r="D331" s="70" t="inlineStr">
        <is>
          <t>Gastroenterology</t>
        </is>
      </c>
      <c r="E331" s="70" t="inlineStr">
        <is>
          <t>BU Cardiovascular</t>
        </is>
      </c>
      <c r="F331" s="71" t="inlineStr">
        <is>
          <t>Miscellaneous</t>
        </is>
      </c>
      <c r="G331" s="71" t="inlineStr">
        <is>
          <t>Apr-2025</t>
        </is>
      </c>
      <c r="H331" s="71" t="inlineStr">
        <is>
          <t>Q2 2025</t>
        </is>
      </c>
      <c r="I331" s="73" t="n">
        <v>916.72</v>
      </c>
      <c r="J331" s="73" t="n">
        <v>803.65</v>
      </c>
      <c r="K331" s="73" t="n">
        <v>703.36</v>
      </c>
      <c r="L331" s="80" t="n">
        <v>113.07</v>
      </c>
      <c r="M331" s="78" t="n">
        <v>0.1233</v>
      </c>
      <c r="N331" s="107" t="n">
        <v>0.8766580853477616</v>
      </c>
      <c r="O331" s="108" t="inlineStr">
        <is>
          <t>Under</t>
        </is>
      </c>
      <c r="P331" s="69" t="inlineStr">
        <is>
          <t>On Track</t>
        </is>
      </c>
    </row>
    <row r="332" ht="16" customHeight="1">
      <c r="A332" s="98" t="inlineStr">
        <is>
          <t>CC-00331</t>
        </is>
      </c>
      <c r="B332" s="99" t="inlineStr">
        <is>
          <t>EVT-2025-031</t>
        </is>
      </c>
      <c r="C332" s="100" t="inlineStr">
        <is>
          <t>Antivex Congress Dublin Sep 2025</t>
        </is>
      </c>
      <c r="D332" s="100" t="inlineStr">
        <is>
          <t>Infectious Diseases</t>
        </is>
      </c>
      <c r="E332" s="100" t="inlineStr">
        <is>
          <t>BU Infectious Diseases</t>
        </is>
      </c>
      <c r="F332" s="99" t="inlineStr">
        <is>
          <t>Airfare</t>
        </is>
      </c>
      <c r="G332" s="99" t="inlineStr">
        <is>
          <t>Sep-2025</t>
        </is>
      </c>
      <c r="H332" s="99" t="inlineStr">
        <is>
          <t>Q3 2025</t>
        </is>
      </c>
      <c r="I332" s="101" t="n">
        <v>9494.959999999999</v>
      </c>
      <c r="J332" s="101" t="n">
        <v>9115.219999999999</v>
      </c>
      <c r="K332" s="101" t="n">
        <v>7187.88</v>
      </c>
      <c r="L332" s="102" t="n">
        <v>379.74</v>
      </c>
      <c r="M332" s="103" t="n">
        <v>0.04</v>
      </c>
      <c r="N332" s="104" t="n">
        <v>0.960006150631493</v>
      </c>
      <c r="O332" s="105" t="inlineStr">
        <is>
          <t>Under</t>
        </is>
      </c>
      <c r="P332" s="69" t="inlineStr">
        <is>
          <t>On Track</t>
        </is>
      </c>
    </row>
    <row r="333" ht="16" customHeight="1">
      <c r="A333" s="106" t="inlineStr">
        <is>
          <t>CC-00332</t>
        </is>
      </c>
      <c r="B333" s="71" t="inlineStr">
        <is>
          <t>EVT-2025-031</t>
        </is>
      </c>
      <c r="C333" s="70" t="inlineStr">
        <is>
          <t>Antivex Congress Dublin Sep 2025</t>
        </is>
      </c>
      <c r="D333" s="70" t="inlineStr">
        <is>
          <t>Infectious Diseases</t>
        </is>
      </c>
      <c r="E333" s="70" t="inlineStr">
        <is>
          <t>BU Infectious Diseases</t>
        </is>
      </c>
      <c r="F333" s="71" t="inlineStr">
        <is>
          <t>Hotel</t>
        </is>
      </c>
      <c r="G333" s="71" t="inlineStr">
        <is>
          <t>Sep-2025</t>
        </is>
      </c>
      <c r="H333" s="71" t="inlineStr">
        <is>
          <t>Q3 2025</t>
        </is>
      </c>
      <c r="I333" s="73" t="n">
        <v>17090.93</v>
      </c>
      <c r="J333" s="73" t="n">
        <v>11931.11</v>
      </c>
      <c r="K333" s="73" t="n">
        <v>9175.09</v>
      </c>
      <c r="L333" s="80" t="n">
        <v>5159.82</v>
      </c>
      <c r="M333" s="78" t="n">
        <v>0.3019</v>
      </c>
      <c r="N333" s="107" t="n">
        <v>0.6980960076485013</v>
      </c>
      <c r="O333" s="108" t="inlineStr">
        <is>
          <t>Under</t>
        </is>
      </c>
      <c r="P333" s="69" t="inlineStr">
        <is>
          <t>On Track</t>
        </is>
      </c>
    </row>
    <row r="334" ht="16" customHeight="1">
      <c r="A334" s="98" t="inlineStr">
        <is>
          <t>CC-00333</t>
        </is>
      </c>
      <c r="B334" s="99" t="inlineStr">
        <is>
          <t>EVT-2025-031</t>
        </is>
      </c>
      <c r="C334" s="100" t="inlineStr">
        <is>
          <t>Antivex Congress Dublin Sep 2025</t>
        </is>
      </c>
      <c r="D334" s="100" t="inlineStr">
        <is>
          <t>Infectious Diseases</t>
        </is>
      </c>
      <c r="E334" s="100" t="inlineStr">
        <is>
          <t>BU Infectious Diseases</t>
        </is>
      </c>
      <c r="F334" s="99" t="inlineStr">
        <is>
          <t>Venue</t>
        </is>
      </c>
      <c r="G334" s="99" t="inlineStr">
        <is>
          <t>Sep-2025</t>
        </is>
      </c>
      <c r="H334" s="99" t="inlineStr">
        <is>
          <t>Q3 2025</t>
        </is>
      </c>
      <c r="I334" s="101" t="n">
        <v>14242.44</v>
      </c>
      <c r="J334" s="101" t="n">
        <v>12603.06</v>
      </c>
      <c r="K334" s="101" t="n">
        <v>9751.23</v>
      </c>
      <c r="L334" s="102" t="n">
        <v>1639.38</v>
      </c>
      <c r="M334" s="103" t="n">
        <v>0.1151</v>
      </c>
      <c r="N334" s="104" t="n">
        <v>0.8848947230951999</v>
      </c>
      <c r="O334" s="105" t="inlineStr">
        <is>
          <t>Under</t>
        </is>
      </c>
      <c r="P334" s="69" t="inlineStr">
        <is>
          <t>On Track</t>
        </is>
      </c>
    </row>
    <row r="335" ht="16" customHeight="1">
      <c r="A335" s="106" t="inlineStr">
        <is>
          <t>CC-00334</t>
        </is>
      </c>
      <c r="B335" s="71" t="inlineStr">
        <is>
          <t>EVT-2025-031</t>
        </is>
      </c>
      <c r="C335" s="70" t="inlineStr">
        <is>
          <t>Antivex Congress Dublin Sep 2025</t>
        </is>
      </c>
      <c r="D335" s="70" t="inlineStr">
        <is>
          <t>Infectious Diseases</t>
        </is>
      </c>
      <c r="E335" s="70" t="inlineStr">
        <is>
          <t>BU Infectious Diseases</t>
        </is>
      </c>
      <c r="F335" s="71" t="inlineStr">
        <is>
          <t>F&amp;B</t>
        </is>
      </c>
      <c r="G335" s="71" t="inlineStr">
        <is>
          <t>Sep-2025</t>
        </is>
      </c>
      <c r="H335" s="71" t="inlineStr">
        <is>
          <t>Q3 2025</t>
        </is>
      </c>
      <c r="I335" s="73" t="n">
        <v>11393.95</v>
      </c>
      <c r="J335" s="73" t="n">
        <v>9973.370000000001</v>
      </c>
      <c r="K335" s="73" t="n">
        <v>9804.219999999999</v>
      </c>
      <c r="L335" s="80" t="n">
        <v>1420.58</v>
      </c>
      <c r="M335" s="78" t="n">
        <v>0.1247</v>
      </c>
      <c r="N335" s="107" t="n">
        <v>0.8753215522272785</v>
      </c>
      <c r="O335" s="108" t="inlineStr">
        <is>
          <t>Under</t>
        </is>
      </c>
      <c r="P335" s="69" t="inlineStr">
        <is>
          <t>On Track</t>
        </is>
      </c>
    </row>
    <row r="336" ht="16" customHeight="1">
      <c r="A336" s="98" t="inlineStr">
        <is>
          <t>CC-00335</t>
        </is>
      </c>
      <c r="B336" s="99" t="inlineStr">
        <is>
          <t>EVT-2025-031</t>
        </is>
      </c>
      <c r="C336" s="100" t="inlineStr">
        <is>
          <t>Antivex Congress Dublin Sep 2025</t>
        </is>
      </c>
      <c r="D336" s="100" t="inlineStr">
        <is>
          <t>Infectious Diseases</t>
        </is>
      </c>
      <c r="E336" s="100" t="inlineStr">
        <is>
          <t>BU Infectious Diseases</t>
        </is>
      </c>
      <c r="F336" s="99" t="inlineStr">
        <is>
          <t>Logistics</t>
        </is>
      </c>
      <c r="G336" s="99" t="inlineStr">
        <is>
          <t>Sep-2025</t>
        </is>
      </c>
      <c r="H336" s="99" t="inlineStr">
        <is>
          <t>Q3 2025</t>
        </is>
      </c>
      <c r="I336" s="101" t="n">
        <v>5696.98</v>
      </c>
      <c r="J336" s="101" t="n">
        <v>4379.74</v>
      </c>
      <c r="K336" s="101" t="n">
        <v>4068.81</v>
      </c>
      <c r="L336" s="102" t="n">
        <v>1317.24</v>
      </c>
      <c r="M336" s="103" t="n">
        <v>0.2312</v>
      </c>
      <c r="N336" s="104" t="n">
        <v>0.7687827585843728</v>
      </c>
      <c r="O336" s="105" t="inlineStr">
        <is>
          <t>Under</t>
        </is>
      </c>
      <c r="P336" s="69" t="inlineStr">
        <is>
          <t>On Track</t>
        </is>
      </c>
    </row>
    <row r="337" ht="16" customHeight="1">
      <c r="A337" s="106" t="inlineStr">
        <is>
          <t>CC-00336</t>
        </is>
      </c>
      <c r="B337" s="71" t="inlineStr">
        <is>
          <t>EVT-2025-031</t>
        </is>
      </c>
      <c r="C337" s="70" t="inlineStr">
        <is>
          <t>Antivex Congress Dublin Sep 2025</t>
        </is>
      </c>
      <c r="D337" s="70" t="inlineStr">
        <is>
          <t>Infectious Diseases</t>
        </is>
      </c>
      <c r="E337" s="70" t="inlineStr">
        <is>
          <t>BU Infectious Diseases</t>
        </is>
      </c>
      <c r="F337" s="71" t="inlineStr">
        <is>
          <t>AV &amp; Technology</t>
        </is>
      </c>
      <c r="G337" s="71" t="inlineStr">
        <is>
          <t>Sep-2025</t>
        </is>
      </c>
      <c r="H337" s="71" t="inlineStr">
        <is>
          <t>Q3 2025</t>
        </is>
      </c>
      <c r="I337" s="73" t="n">
        <v>7595.97</v>
      </c>
      <c r="J337" s="73" t="n">
        <v>6413.36</v>
      </c>
      <c r="K337" s="73" t="n">
        <v>5881.48</v>
      </c>
      <c r="L337" s="80" t="n">
        <v>1182.61</v>
      </c>
      <c r="M337" s="78" t="n">
        <v>0.1557</v>
      </c>
      <c r="N337" s="107" t="n">
        <v>0.8443108648401717</v>
      </c>
      <c r="O337" s="108" t="inlineStr">
        <is>
          <t>Under</t>
        </is>
      </c>
      <c r="P337" s="69" t="inlineStr">
        <is>
          <t>On Track</t>
        </is>
      </c>
    </row>
    <row r="338" ht="16" customHeight="1">
      <c r="A338" s="98" t="inlineStr">
        <is>
          <t>CC-00337</t>
        </is>
      </c>
      <c r="B338" s="99" t="inlineStr">
        <is>
          <t>EVT-2025-031</t>
        </is>
      </c>
      <c r="C338" s="100" t="inlineStr">
        <is>
          <t>Antivex Congress Dublin Sep 2025</t>
        </is>
      </c>
      <c r="D338" s="100" t="inlineStr">
        <is>
          <t>Infectious Diseases</t>
        </is>
      </c>
      <c r="E338" s="100" t="inlineStr">
        <is>
          <t>BU Infectious Diseases</t>
        </is>
      </c>
      <c r="F338" s="99" t="inlineStr">
        <is>
          <t>Agency Fees</t>
        </is>
      </c>
      <c r="G338" s="99" t="inlineStr">
        <is>
          <t>Sep-2025</t>
        </is>
      </c>
      <c r="H338" s="99" t="inlineStr">
        <is>
          <t>Q3 2025</t>
        </is>
      </c>
      <c r="I338" s="101" t="n">
        <v>13292.95</v>
      </c>
      <c r="J338" s="101" t="n">
        <v>12891.46</v>
      </c>
      <c r="K338" s="101" t="n">
        <v>10806.25</v>
      </c>
      <c r="L338" s="102" t="n">
        <v>401.49</v>
      </c>
      <c r="M338" s="103" t="n">
        <v>0.0302</v>
      </c>
      <c r="N338" s="104" t="n">
        <v>0.9697967719731134</v>
      </c>
      <c r="O338" s="105" t="inlineStr">
        <is>
          <t>Under</t>
        </is>
      </c>
      <c r="P338" s="69" t="inlineStr">
        <is>
          <t>On Track</t>
        </is>
      </c>
    </row>
    <row r="339" ht="16" customHeight="1">
      <c r="A339" s="106" t="inlineStr">
        <is>
          <t>CC-00338</t>
        </is>
      </c>
      <c r="B339" s="71" t="inlineStr">
        <is>
          <t>EVT-2025-031</t>
        </is>
      </c>
      <c r="C339" s="70" t="inlineStr">
        <is>
          <t>Antivex Congress Dublin Sep 2025</t>
        </is>
      </c>
      <c r="D339" s="70" t="inlineStr">
        <is>
          <t>Infectious Diseases</t>
        </is>
      </c>
      <c r="E339" s="70" t="inlineStr">
        <is>
          <t>BU Infectious Diseases</t>
        </is>
      </c>
      <c r="F339" s="71" t="inlineStr">
        <is>
          <t>Speaker Fees</t>
        </is>
      </c>
      <c r="G339" s="71" t="inlineStr">
        <is>
          <t>Sep-2025</t>
        </is>
      </c>
      <c r="H339" s="71" t="inlineStr">
        <is>
          <t>Q3 2025</t>
        </is>
      </c>
      <c r="I339" s="73" t="n">
        <v>9494.959999999999</v>
      </c>
      <c r="J339" s="73" t="n">
        <v>9175.799999999999</v>
      </c>
      <c r="K339" s="73" t="n">
        <v>7392.51</v>
      </c>
      <c r="L339" s="80" t="n">
        <v>319.16</v>
      </c>
      <c r="M339" s="78" t="n">
        <v>0.0336</v>
      </c>
      <c r="N339" s="107" t="n">
        <v>0.9663863776150716</v>
      </c>
      <c r="O339" s="108" t="inlineStr">
        <is>
          <t>Under</t>
        </is>
      </c>
      <c r="P339" s="69" t="inlineStr">
        <is>
          <t>On Track</t>
        </is>
      </c>
    </row>
    <row r="340" ht="16" customHeight="1">
      <c r="A340" s="98" t="inlineStr">
        <is>
          <t>CC-00339</t>
        </is>
      </c>
      <c r="B340" s="99" t="inlineStr">
        <is>
          <t>EVT-2025-031</t>
        </is>
      </c>
      <c r="C340" s="100" t="inlineStr">
        <is>
          <t>Antivex Congress Dublin Sep 2025</t>
        </is>
      </c>
      <c r="D340" s="100" t="inlineStr">
        <is>
          <t>Infectious Diseases</t>
        </is>
      </c>
      <c r="E340" s="100" t="inlineStr">
        <is>
          <t>BU Infectious Diseases</t>
        </is>
      </c>
      <c r="F340" s="99" t="inlineStr">
        <is>
          <t>Translation</t>
        </is>
      </c>
      <c r="G340" s="99" t="inlineStr">
        <is>
          <t>Sep-2025</t>
        </is>
      </c>
      <c r="H340" s="99" t="inlineStr">
        <is>
          <t>Q3 2025</t>
        </is>
      </c>
      <c r="I340" s="101" t="n">
        <v>2848.49</v>
      </c>
      <c r="J340" s="101" t="n">
        <v>1908.43</v>
      </c>
      <c r="K340" s="101" t="n">
        <v>1648.81</v>
      </c>
      <c r="L340" s="102" t="n">
        <v>940.0599999999999</v>
      </c>
      <c r="M340" s="103" t="n">
        <v>0.33</v>
      </c>
      <c r="N340" s="104" t="n">
        <v>0.6699795330157382</v>
      </c>
      <c r="O340" s="105" t="inlineStr">
        <is>
          <t>Under</t>
        </is>
      </c>
      <c r="P340" s="69" t="inlineStr">
        <is>
          <t>On Track</t>
        </is>
      </c>
    </row>
    <row r="341" ht="16" customHeight="1">
      <c r="A341" s="106" t="inlineStr">
        <is>
          <t>CC-00340</t>
        </is>
      </c>
      <c r="B341" s="71" t="inlineStr">
        <is>
          <t>EVT-2025-031</t>
        </is>
      </c>
      <c r="C341" s="70" t="inlineStr">
        <is>
          <t>Antivex Congress Dublin Sep 2025</t>
        </is>
      </c>
      <c r="D341" s="70" t="inlineStr">
        <is>
          <t>Infectious Diseases</t>
        </is>
      </c>
      <c r="E341" s="70" t="inlineStr">
        <is>
          <t>BU Infectious Diseases</t>
        </is>
      </c>
      <c r="F341" s="71" t="inlineStr">
        <is>
          <t>Print &amp; Production</t>
        </is>
      </c>
      <c r="G341" s="71" t="inlineStr">
        <is>
          <t>Sep-2025</t>
        </is>
      </c>
      <c r="H341" s="71" t="inlineStr">
        <is>
          <t>Q3 2025</t>
        </is>
      </c>
      <c r="I341" s="73" t="n">
        <v>1898.99</v>
      </c>
      <c r="J341" s="73" t="n">
        <v>1314.15</v>
      </c>
      <c r="K341" s="73" t="n">
        <v>1270.53</v>
      </c>
      <c r="L341" s="80" t="n">
        <v>584.84</v>
      </c>
      <c r="M341" s="78" t="n">
        <v>0.308</v>
      </c>
      <c r="N341" s="107" t="n">
        <v>0.6920257610624596</v>
      </c>
      <c r="O341" s="108" t="inlineStr">
        <is>
          <t>Under</t>
        </is>
      </c>
      <c r="P341" s="69" t="inlineStr">
        <is>
          <t>On Track</t>
        </is>
      </c>
    </row>
    <row r="342" ht="16" customHeight="1">
      <c r="A342" s="98" t="inlineStr">
        <is>
          <t>CC-00341</t>
        </is>
      </c>
      <c r="B342" s="99" t="inlineStr">
        <is>
          <t>EVT-2025-031</t>
        </is>
      </c>
      <c r="C342" s="100" t="inlineStr">
        <is>
          <t>Antivex Congress Dublin Sep 2025</t>
        </is>
      </c>
      <c r="D342" s="100" t="inlineStr">
        <is>
          <t>Infectious Diseases</t>
        </is>
      </c>
      <c r="E342" s="100" t="inlineStr">
        <is>
          <t>BU Infectious Diseases</t>
        </is>
      </c>
      <c r="F342" s="99" t="inlineStr">
        <is>
          <t>Miscellaneous</t>
        </is>
      </c>
      <c r="G342" s="99" t="inlineStr">
        <is>
          <t>Sep-2025</t>
        </is>
      </c>
      <c r="H342" s="99" t="inlineStr">
        <is>
          <t>Q3 2025</t>
        </is>
      </c>
      <c r="I342" s="101" t="n">
        <v>1898.99</v>
      </c>
      <c r="J342" s="101" t="n">
        <v>2079.7</v>
      </c>
      <c r="K342" s="101" t="n">
        <v>2053.02</v>
      </c>
      <c r="L342" s="109" t="n">
        <v>-180.71</v>
      </c>
      <c r="M342" s="110" t="n">
        <v>-0.09520000000000001</v>
      </c>
      <c r="N342" s="104" t="n">
        <v>1.095161111959515</v>
      </c>
      <c r="O342" s="111" t="inlineStr">
        <is>
          <t>Over</t>
        </is>
      </c>
      <c r="P342" s="76" t="inlineStr">
        <is>
          <t>Watch</t>
        </is>
      </c>
    </row>
    <row r="343" ht="16" customHeight="1">
      <c r="A343" s="106" t="inlineStr">
        <is>
          <t>CC-00342</t>
        </is>
      </c>
      <c r="B343" s="71" t="inlineStr">
        <is>
          <t>EVT-2025-032</t>
        </is>
      </c>
      <c r="C343" s="70" t="inlineStr">
        <is>
          <t>Cordavex Advisory Board Helsinki Feb 2025</t>
        </is>
      </c>
      <c r="D343" s="70" t="inlineStr">
        <is>
          <t>Cardiology</t>
        </is>
      </c>
      <c r="E343" s="70" t="inlineStr">
        <is>
          <t>BU Cardiovascular</t>
        </is>
      </c>
      <c r="F343" s="71" t="inlineStr">
        <is>
          <t>Airfare</t>
        </is>
      </c>
      <c r="G343" s="71" t="inlineStr">
        <is>
          <t>Feb-2025</t>
        </is>
      </c>
      <c r="H343" s="71" t="inlineStr">
        <is>
          <t>Q1 2025</t>
        </is>
      </c>
      <c r="I343" s="73" t="n">
        <v>14220.32</v>
      </c>
      <c r="J343" s="73" t="n">
        <v>12257.52</v>
      </c>
      <c r="K343" s="73" t="n">
        <v>11665.73</v>
      </c>
      <c r="L343" s="80" t="n">
        <v>1962.8</v>
      </c>
      <c r="M343" s="78" t="n">
        <v>0.138</v>
      </c>
      <c r="N343" s="107" t="n">
        <v>0.8619721637769052</v>
      </c>
      <c r="O343" s="108" t="inlineStr">
        <is>
          <t>Under</t>
        </is>
      </c>
      <c r="P343" s="69" t="inlineStr">
        <is>
          <t>On Track</t>
        </is>
      </c>
    </row>
    <row r="344" ht="16" customHeight="1">
      <c r="A344" s="98" t="inlineStr">
        <is>
          <t>CC-00343</t>
        </is>
      </c>
      <c r="B344" s="99" t="inlineStr">
        <is>
          <t>EVT-2025-032</t>
        </is>
      </c>
      <c r="C344" s="100" t="inlineStr">
        <is>
          <t>Cordavex Advisory Board Helsinki Feb 2025</t>
        </is>
      </c>
      <c r="D344" s="100" t="inlineStr">
        <is>
          <t>Cardiology</t>
        </is>
      </c>
      <c r="E344" s="100" t="inlineStr">
        <is>
          <t>BU Cardiovascular</t>
        </is>
      </c>
      <c r="F344" s="99" t="inlineStr">
        <is>
          <t>Hotel</t>
        </is>
      </c>
      <c r="G344" s="99" t="inlineStr">
        <is>
          <t>Feb-2025</t>
        </is>
      </c>
      <c r="H344" s="99" t="inlineStr">
        <is>
          <t>Q1 2025</t>
        </is>
      </c>
      <c r="I344" s="101" t="n">
        <v>25596.57</v>
      </c>
      <c r="J344" s="101" t="n">
        <v>16309.24</v>
      </c>
      <c r="K344" s="101" t="n">
        <v>15418.74</v>
      </c>
      <c r="L344" s="102" t="n">
        <v>9287.33</v>
      </c>
      <c r="M344" s="103" t="n">
        <v>0.3628</v>
      </c>
      <c r="N344" s="104" t="n">
        <v>0.6371650576620227</v>
      </c>
      <c r="O344" s="105" t="inlineStr">
        <is>
          <t>Under</t>
        </is>
      </c>
      <c r="P344" s="69" t="inlineStr">
        <is>
          <t>On Track</t>
        </is>
      </c>
    </row>
    <row r="345" ht="16" customHeight="1">
      <c r="A345" s="106" t="inlineStr">
        <is>
          <t>CC-00344</t>
        </is>
      </c>
      <c r="B345" s="71" t="inlineStr">
        <is>
          <t>EVT-2025-032</t>
        </is>
      </c>
      <c r="C345" s="70" t="inlineStr">
        <is>
          <t>Cordavex Advisory Board Helsinki Feb 2025</t>
        </is>
      </c>
      <c r="D345" s="70" t="inlineStr">
        <is>
          <t>Cardiology</t>
        </is>
      </c>
      <c r="E345" s="70" t="inlineStr">
        <is>
          <t>BU Cardiovascular</t>
        </is>
      </c>
      <c r="F345" s="71" t="inlineStr">
        <is>
          <t>Venue</t>
        </is>
      </c>
      <c r="G345" s="71" t="inlineStr">
        <is>
          <t>Feb-2025</t>
        </is>
      </c>
      <c r="H345" s="71" t="inlineStr">
        <is>
          <t>Q1 2025</t>
        </is>
      </c>
      <c r="I345" s="73" t="n">
        <v>21330.47</v>
      </c>
      <c r="J345" s="73" t="n">
        <v>13315.7</v>
      </c>
      <c r="K345" s="73" t="n">
        <v>9346.49</v>
      </c>
      <c r="L345" s="80" t="n">
        <v>8014.77</v>
      </c>
      <c r="M345" s="78" t="n">
        <v>0.3757</v>
      </c>
      <c r="N345" s="107" t="n">
        <v>0.6242572245243542</v>
      </c>
      <c r="O345" s="108" t="inlineStr">
        <is>
          <t>Under</t>
        </is>
      </c>
      <c r="P345" s="69" t="inlineStr">
        <is>
          <t>On Track</t>
        </is>
      </c>
    </row>
    <row r="346" ht="16" customHeight="1">
      <c r="A346" s="98" t="inlineStr">
        <is>
          <t>CC-00345</t>
        </is>
      </c>
      <c r="B346" s="99" t="inlineStr">
        <is>
          <t>EVT-2025-032</t>
        </is>
      </c>
      <c r="C346" s="100" t="inlineStr">
        <is>
          <t>Cordavex Advisory Board Helsinki Feb 2025</t>
        </is>
      </c>
      <c r="D346" s="100" t="inlineStr">
        <is>
          <t>Cardiology</t>
        </is>
      </c>
      <c r="E346" s="100" t="inlineStr">
        <is>
          <t>BU Cardiovascular</t>
        </is>
      </c>
      <c r="F346" s="99" t="inlineStr">
        <is>
          <t>F&amp;B</t>
        </is>
      </c>
      <c r="G346" s="99" t="inlineStr">
        <is>
          <t>Feb-2025</t>
        </is>
      </c>
      <c r="H346" s="99" t="inlineStr">
        <is>
          <t>Q1 2025</t>
        </is>
      </c>
      <c r="I346" s="101" t="n">
        <v>17064.38</v>
      </c>
      <c r="J346" s="101" t="n">
        <v>11411.73</v>
      </c>
      <c r="K346" s="101" t="n">
        <v>10147.43</v>
      </c>
      <c r="L346" s="102" t="n">
        <v>5652.65</v>
      </c>
      <c r="M346" s="103" t="n">
        <v>0.3313</v>
      </c>
      <c r="N346" s="104" t="n">
        <v>0.668745656156274</v>
      </c>
      <c r="O346" s="105" t="inlineStr">
        <is>
          <t>Under</t>
        </is>
      </c>
      <c r="P346" s="69" t="inlineStr">
        <is>
          <t>On Track</t>
        </is>
      </c>
    </row>
    <row r="347" ht="16" customHeight="1">
      <c r="A347" s="106" t="inlineStr">
        <is>
          <t>CC-00346</t>
        </is>
      </c>
      <c r="B347" s="71" t="inlineStr">
        <is>
          <t>EVT-2025-032</t>
        </is>
      </c>
      <c r="C347" s="70" t="inlineStr">
        <is>
          <t>Cordavex Advisory Board Helsinki Feb 2025</t>
        </is>
      </c>
      <c r="D347" s="70" t="inlineStr">
        <is>
          <t>Cardiology</t>
        </is>
      </c>
      <c r="E347" s="70" t="inlineStr">
        <is>
          <t>BU Cardiovascular</t>
        </is>
      </c>
      <c r="F347" s="71" t="inlineStr">
        <is>
          <t>Logistics</t>
        </is>
      </c>
      <c r="G347" s="71" t="inlineStr">
        <is>
          <t>Feb-2025</t>
        </is>
      </c>
      <c r="H347" s="71" t="inlineStr">
        <is>
          <t>Q1 2025</t>
        </is>
      </c>
      <c r="I347" s="73" t="n">
        <v>8532.190000000001</v>
      </c>
      <c r="J347" s="73" t="n">
        <v>5409.27</v>
      </c>
      <c r="K347" s="73" t="n">
        <v>4031.58</v>
      </c>
      <c r="L347" s="80" t="n">
        <v>3122.92</v>
      </c>
      <c r="M347" s="78" t="n">
        <v>0.366</v>
      </c>
      <c r="N347" s="107" t="n">
        <v>0.6339837720444575</v>
      </c>
      <c r="O347" s="108" t="inlineStr">
        <is>
          <t>Under</t>
        </is>
      </c>
      <c r="P347" s="69" t="inlineStr">
        <is>
          <t>On Track</t>
        </is>
      </c>
    </row>
    <row r="348" ht="16" customHeight="1">
      <c r="A348" s="98" t="inlineStr">
        <is>
          <t>CC-00347</t>
        </is>
      </c>
      <c r="B348" s="99" t="inlineStr">
        <is>
          <t>EVT-2025-032</t>
        </is>
      </c>
      <c r="C348" s="100" t="inlineStr">
        <is>
          <t>Cordavex Advisory Board Helsinki Feb 2025</t>
        </is>
      </c>
      <c r="D348" s="100" t="inlineStr">
        <is>
          <t>Cardiology</t>
        </is>
      </c>
      <c r="E348" s="100" t="inlineStr">
        <is>
          <t>BU Cardiovascular</t>
        </is>
      </c>
      <c r="F348" s="99" t="inlineStr">
        <is>
          <t>AV &amp; Technology</t>
        </is>
      </c>
      <c r="G348" s="99" t="inlineStr">
        <is>
          <t>Feb-2025</t>
        </is>
      </c>
      <c r="H348" s="99" t="inlineStr">
        <is>
          <t>Q1 2025</t>
        </is>
      </c>
      <c r="I348" s="101" t="n">
        <v>11376.25</v>
      </c>
      <c r="J348" s="101" t="n">
        <v>8069.85</v>
      </c>
      <c r="K348" s="101" t="n">
        <v>6752.87</v>
      </c>
      <c r="L348" s="102" t="n">
        <v>3306.4</v>
      </c>
      <c r="M348" s="103" t="n">
        <v>0.2906</v>
      </c>
      <c r="N348" s="104" t="n">
        <v>0.7093594110537303</v>
      </c>
      <c r="O348" s="105" t="inlineStr">
        <is>
          <t>Under</t>
        </is>
      </c>
      <c r="P348" s="69" t="inlineStr">
        <is>
          <t>On Track</t>
        </is>
      </c>
    </row>
    <row r="349" ht="16" customHeight="1">
      <c r="A349" s="106" t="inlineStr">
        <is>
          <t>CC-00348</t>
        </is>
      </c>
      <c r="B349" s="71" t="inlineStr">
        <is>
          <t>EVT-2025-032</t>
        </is>
      </c>
      <c r="C349" s="70" t="inlineStr">
        <is>
          <t>Cordavex Advisory Board Helsinki Feb 2025</t>
        </is>
      </c>
      <c r="D349" s="70" t="inlineStr">
        <is>
          <t>Cardiology</t>
        </is>
      </c>
      <c r="E349" s="70" t="inlineStr">
        <is>
          <t>BU Cardiovascular</t>
        </is>
      </c>
      <c r="F349" s="71" t="inlineStr">
        <is>
          <t>Agency Fees</t>
        </is>
      </c>
      <c r="G349" s="71" t="inlineStr">
        <is>
          <t>Feb-2025</t>
        </is>
      </c>
      <c r="H349" s="71" t="inlineStr">
        <is>
          <t>Q1 2025</t>
        </is>
      </c>
      <c r="I349" s="73" t="n">
        <v>19908.44</v>
      </c>
      <c r="J349" s="73" t="n">
        <v>12546.8</v>
      </c>
      <c r="K349" s="73" t="n">
        <v>11183.2</v>
      </c>
      <c r="L349" s="80" t="n">
        <v>7361.64</v>
      </c>
      <c r="M349" s="78" t="n">
        <v>0.3698</v>
      </c>
      <c r="N349" s="107" t="n">
        <v>0.6302251708320692</v>
      </c>
      <c r="O349" s="108" t="inlineStr">
        <is>
          <t>Under</t>
        </is>
      </c>
      <c r="P349" s="69" t="inlineStr">
        <is>
          <t>On Track</t>
        </is>
      </c>
    </row>
    <row r="350" ht="16" customHeight="1">
      <c r="A350" s="98" t="inlineStr">
        <is>
          <t>CC-00349</t>
        </is>
      </c>
      <c r="B350" s="99" t="inlineStr">
        <is>
          <t>EVT-2025-032</t>
        </is>
      </c>
      <c r="C350" s="100" t="inlineStr">
        <is>
          <t>Cordavex Advisory Board Helsinki Feb 2025</t>
        </is>
      </c>
      <c r="D350" s="100" t="inlineStr">
        <is>
          <t>Cardiology</t>
        </is>
      </c>
      <c r="E350" s="100" t="inlineStr">
        <is>
          <t>BU Cardiovascular</t>
        </is>
      </c>
      <c r="F350" s="99" t="inlineStr">
        <is>
          <t>Speaker Fees</t>
        </is>
      </c>
      <c r="G350" s="99" t="inlineStr">
        <is>
          <t>Feb-2025</t>
        </is>
      </c>
      <c r="H350" s="99" t="inlineStr">
        <is>
          <t>Q1 2025</t>
        </is>
      </c>
      <c r="I350" s="101" t="n">
        <v>14220.32</v>
      </c>
      <c r="J350" s="101" t="n">
        <v>15172.4</v>
      </c>
      <c r="K350" s="101" t="n">
        <v>14775.27</v>
      </c>
      <c r="L350" s="109" t="n">
        <v>-952.08</v>
      </c>
      <c r="M350" s="110" t="n">
        <v>-0.067</v>
      </c>
      <c r="N350" s="104" t="n">
        <v>1.066952079840679</v>
      </c>
      <c r="O350" s="111" t="inlineStr">
        <is>
          <t>Over</t>
        </is>
      </c>
      <c r="P350" s="76" t="inlineStr">
        <is>
          <t>Watch</t>
        </is>
      </c>
    </row>
    <row r="351" ht="16" customHeight="1">
      <c r="A351" s="106" t="inlineStr">
        <is>
          <t>CC-00350</t>
        </is>
      </c>
      <c r="B351" s="71" t="inlineStr">
        <is>
          <t>EVT-2025-032</t>
        </is>
      </c>
      <c r="C351" s="70" t="inlineStr">
        <is>
          <t>Cordavex Advisory Board Helsinki Feb 2025</t>
        </is>
      </c>
      <c r="D351" s="70" t="inlineStr">
        <is>
          <t>Cardiology</t>
        </is>
      </c>
      <c r="E351" s="70" t="inlineStr">
        <is>
          <t>BU Cardiovascular</t>
        </is>
      </c>
      <c r="F351" s="71" t="inlineStr">
        <is>
          <t>Translation</t>
        </is>
      </c>
      <c r="G351" s="71" t="inlineStr">
        <is>
          <t>Feb-2025</t>
        </is>
      </c>
      <c r="H351" s="71" t="inlineStr">
        <is>
          <t>Q1 2025</t>
        </is>
      </c>
      <c r="I351" s="73" t="n">
        <v>4266.09</v>
      </c>
      <c r="J351" s="73" t="n">
        <v>3965.94</v>
      </c>
      <c r="K351" s="73" t="n">
        <v>2794.88</v>
      </c>
      <c r="L351" s="80" t="n">
        <v>300.15</v>
      </c>
      <c r="M351" s="78" t="n">
        <v>0.0704</v>
      </c>
      <c r="N351" s="107" t="n">
        <v>0.9296428345393557</v>
      </c>
      <c r="O351" s="108" t="inlineStr">
        <is>
          <t>Under</t>
        </is>
      </c>
      <c r="P351" s="69" t="inlineStr">
        <is>
          <t>On Track</t>
        </is>
      </c>
    </row>
    <row r="352" ht="16" customHeight="1">
      <c r="A352" s="98" t="inlineStr">
        <is>
          <t>CC-00351</t>
        </is>
      </c>
      <c r="B352" s="99" t="inlineStr">
        <is>
          <t>EVT-2025-032</t>
        </is>
      </c>
      <c r="C352" s="100" t="inlineStr">
        <is>
          <t>Cordavex Advisory Board Helsinki Feb 2025</t>
        </is>
      </c>
      <c r="D352" s="100" t="inlineStr">
        <is>
          <t>Cardiology</t>
        </is>
      </c>
      <c r="E352" s="100" t="inlineStr">
        <is>
          <t>BU Cardiovascular</t>
        </is>
      </c>
      <c r="F352" s="99" t="inlineStr">
        <is>
          <t>Print &amp; Production</t>
        </is>
      </c>
      <c r="G352" s="99" t="inlineStr">
        <is>
          <t>Feb-2025</t>
        </is>
      </c>
      <c r="H352" s="99" t="inlineStr">
        <is>
          <t>Q1 2025</t>
        </is>
      </c>
      <c r="I352" s="101" t="n">
        <v>2844.06</v>
      </c>
      <c r="J352" s="101" t="n">
        <v>2463.26</v>
      </c>
      <c r="K352" s="101" t="n">
        <v>2028.25</v>
      </c>
      <c r="L352" s="102" t="n">
        <v>380.8</v>
      </c>
      <c r="M352" s="103" t="n">
        <v>0.1339</v>
      </c>
      <c r="N352" s="104" t="n">
        <v>0.8661069035111778</v>
      </c>
      <c r="O352" s="105" t="inlineStr">
        <is>
          <t>Under</t>
        </is>
      </c>
      <c r="P352" s="69" t="inlineStr">
        <is>
          <t>On Track</t>
        </is>
      </c>
    </row>
    <row r="353" ht="16" customHeight="1">
      <c r="A353" s="106" t="inlineStr">
        <is>
          <t>CC-00352</t>
        </is>
      </c>
      <c r="B353" s="71" t="inlineStr">
        <is>
          <t>EVT-2025-032</t>
        </is>
      </c>
      <c r="C353" s="70" t="inlineStr">
        <is>
          <t>Cordavex Advisory Board Helsinki Feb 2025</t>
        </is>
      </c>
      <c r="D353" s="70" t="inlineStr">
        <is>
          <t>Cardiology</t>
        </is>
      </c>
      <c r="E353" s="70" t="inlineStr">
        <is>
          <t>BU Cardiovascular</t>
        </is>
      </c>
      <c r="F353" s="71" t="inlineStr">
        <is>
          <t>Miscellaneous</t>
        </is>
      </c>
      <c r="G353" s="71" t="inlineStr">
        <is>
          <t>Feb-2025</t>
        </is>
      </c>
      <c r="H353" s="71" t="inlineStr">
        <is>
          <t>Q1 2025</t>
        </is>
      </c>
      <c r="I353" s="73" t="n">
        <v>2844.06</v>
      </c>
      <c r="J353" s="73" t="n">
        <v>1730.22</v>
      </c>
      <c r="K353" s="73" t="n">
        <v>1586.02</v>
      </c>
      <c r="L353" s="80" t="n">
        <v>1113.84</v>
      </c>
      <c r="M353" s="78" t="n">
        <v>0.3916</v>
      </c>
      <c r="N353" s="107" t="n">
        <v>0.6083626927701947</v>
      </c>
      <c r="O353" s="108" t="inlineStr">
        <is>
          <t>Under</t>
        </is>
      </c>
      <c r="P353" s="69" t="inlineStr">
        <is>
          <t>On Track</t>
        </is>
      </c>
    </row>
    <row r="354" ht="16" customHeight="1">
      <c r="A354" s="98" t="inlineStr">
        <is>
          <t>CC-00353</t>
        </is>
      </c>
      <c r="B354" s="99" t="inlineStr">
        <is>
          <t>EVT-2025-033</t>
        </is>
      </c>
      <c r="C354" s="100" t="inlineStr">
        <is>
          <t>Caprexosin Advisory Board Athens Dec 2025</t>
        </is>
      </c>
      <c r="D354" s="100" t="inlineStr">
        <is>
          <t>Oncology</t>
        </is>
      </c>
      <c r="E354" s="100" t="inlineStr">
        <is>
          <t>BU Oncology</t>
        </is>
      </c>
      <c r="F354" s="99" t="inlineStr">
        <is>
          <t>Airfare</t>
        </is>
      </c>
      <c r="G354" s="99" t="inlineStr">
        <is>
          <t>Dec-2025</t>
        </is>
      </c>
      <c r="H354" s="99" t="inlineStr">
        <is>
          <t>Q4 2025</t>
        </is>
      </c>
      <c r="I354" s="101" t="n">
        <v>36729.45</v>
      </c>
      <c r="J354" s="101" t="n">
        <v>31876.35</v>
      </c>
      <c r="K354" s="101" t="n">
        <v>25055.02</v>
      </c>
      <c r="L354" s="102" t="n">
        <v>4853.1</v>
      </c>
      <c r="M354" s="103" t="n">
        <v>0.1321</v>
      </c>
      <c r="N354" s="104" t="n">
        <v>0.8678689716290334</v>
      </c>
      <c r="O354" s="105" t="inlineStr">
        <is>
          <t>Under</t>
        </is>
      </c>
      <c r="P354" s="69" t="inlineStr">
        <is>
          <t>On Track</t>
        </is>
      </c>
    </row>
    <row r="355" ht="16" customHeight="1">
      <c r="A355" s="106" t="inlineStr">
        <is>
          <t>CC-00354</t>
        </is>
      </c>
      <c r="B355" s="71" t="inlineStr">
        <is>
          <t>EVT-2025-033</t>
        </is>
      </c>
      <c r="C355" s="70" t="inlineStr">
        <is>
          <t>Caprexosin Advisory Board Athens Dec 2025</t>
        </is>
      </c>
      <c r="D355" s="70" t="inlineStr">
        <is>
          <t>Oncology</t>
        </is>
      </c>
      <c r="E355" s="70" t="inlineStr">
        <is>
          <t>BU Oncology</t>
        </is>
      </c>
      <c r="F355" s="71" t="inlineStr">
        <is>
          <t>Hotel</t>
        </is>
      </c>
      <c r="G355" s="71" t="inlineStr">
        <is>
          <t>Dec-2025</t>
        </is>
      </c>
      <c r="H355" s="71" t="inlineStr">
        <is>
          <t>Q4 2025</t>
        </is>
      </c>
      <c r="I355" s="73" t="n">
        <v>66113.00999999999</v>
      </c>
      <c r="J355" s="73" t="n">
        <v>56269.31</v>
      </c>
      <c r="K355" s="73" t="n">
        <v>51168.93</v>
      </c>
      <c r="L355" s="80" t="n">
        <v>9843.700000000001</v>
      </c>
      <c r="M355" s="78" t="n">
        <v>0.1489</v>
      </c>
      <c r="N355" s="107" t="n">
        <v>0.8511079740583586</v>
      </c>
      <c r="O355" s="108" t="inlineStr">
        <is>
          <t>Under</t>
        </is>
      </c>
      <c r="P355" s="69" t="inlineStr">
        <is>
          <t>On Track</t>
        </is>
      </c>
    </row>
    <row r="356" ht="16" customHeight="1">
      <c r="A356" s="98" t="inlineStr">
        <is>
          <t>CC-00355</t>
        </is>
      </c>
      <c r="B356" s="99" t="inlineStr">
        <is>
          <t>EVT-2025-033</t>
        </is>
      </c>
      <c r="C356" s="100" t="inlineStr">
        <is>
          <t>Caprexosin Advisory Board Athens Dec 2025</t>
        </is>
      </c>
      <c r="D356" s="100" t="inlineStr">
        <is>
          <t>Oncology</t>
        </is>
      </c>
      <c r="E356" s="100" t="inlineStr">
        <is>
          <t>BU Oncology</t>
        </is>
      </c>
      <c r="F356" s="99" t="inlineStr">
        <is>
          <t>Venue</t>
        </is>
      </c>
      <c r="G356" s="99" t="inlineStr">
        <is>
          <t>Dec-2025</t>
        </is>
      </c>
      <c r="H356" s="99" t="inlineStr">
        <is>
          <t>Q4 2025</t>
        </is>
      </c>
      <c r="I356" s="101" t="n">
        <v>55094.17</v>
      </c>
      <c r="J356" s="101" t="n">
        <v>44917.54</v>
      </c>
      <c r="K356" s="101" t="n">
        <v>44105.14</v>
      </c>
      <c r="L356" s="102" t="n">
        <v>10176.63</v>
      </c>
      <c r="M356" s="103" t="n">
        <v>0.1847</v>
      </c>
      <c r="N356" s="104" t="n">
        <v>0.815286626516018</v>
      </c>
      <c r="O356" s="105" t="inlineStr">
        <is>
          <t>Under</t>
        </is>
      </c>
      <c r="P356" s="69" t="inlineStr">
        <is>
          <t>On Track</t>
        </is>
      </c>
    </row>
    <row r="357" ht="16" customHeight="1">
      <c r="A357" s="106" t="inlineStr">
        <is>
          <t>CC-00356</t>
        </is>
      </c>
      <c r="B357" s="71" t="inlineStr">
        <is>
          <t>EVT-2025-033</t>
        </is>
      </c>
      <c r="C357" s="70" t="inlineStr">
        <is>
          <t>Caprexosin Advisory Board Athens Dec 2025</t>
        </is>
      </c>
      <c r="D357" s="70" t="inlineStr">
        <is>
          <t>Oncology</t>
        </is>
      </c>
      <c r="E357" s="70" t="inlineStr">
        <is>
          <t>BU Oncology</t>
        </is>
      </c>
      <c r="F357" s="71" t="inlineStr">
        <is>
          <t>F&amp;B</t>
        </is>
      </c>
      <c r="G357" s="71" t="inlineStr">
        <is>
          <t>Dec-2025</t>
        </is>
      </c>
      <c r="H357" s="71" t="inlineStr">
        <is>
          <t>Q4 2025</t>
        </is>
      </c>
      <c r="I357" s="73" t="n">
        <v>44075.34</v>
      </c>
      <c r="J357" s="73" t="n">
        <v>30395.83</v>
      </c>
      <c r="K357" s="73" t="n">
        <v>29648.54</v>
      </c>
      <c r="L357" s="80" t="n">
        <v>13679.51</v>
      </c>
      <c r="M357" s="78" t="n">
        <v>0.3104</v>
      </c>
      <c r="N357" s="107" t="n">
        <v>0.689633477586333</v>
      </c>
      <c r="O357" s="108" t="inlineStr">
        <is>
          <t>Under</t>
        </is>
      </c>
      <c r="P357" s="69" t="inlineStr">
        <is>
          <t>On Track</t>
        </is>
      </c>
    </row>
    <row r="358" ht="16" customHeight="1">
      <c r="A358" s="98" t="inlineStr">
        <is>
          <t>CC-00357</t>
        </is>
      </c>
      <c r="B358" s="99" t="inlineStr">
        <is>
          <t>EVT-2025-033</t>
        </is>
      </c>
      <c r="C358" s="100" t="inlineStr">
        <is>
          <t>Caprexosin Advisory Board Athens Dec 2025</t>
        </is>
      </c>
      <c r="D358" s="100" t="inlineStr">
        <is>
          <t>Oncology</t>
        </is>
      </c>
      <c r="E358" s="100" t="inlineStr">
        <is>
          <t>BU Oncology</t>
        </is>
      </c>
      <c r="F358" s="99" t="inlineStr">
        <is>
          <t>Logistics</t>
        </is>
      </c>
      <c r="G358" s="99" t="inlineStr">
        <is>
          <t>Dec-2025</t>
        </is>
      </c>
      <c r="H358" s="99" t="inlineStr">
        <is>
          <t>Q4 2025</t>
        </is>
      </c>
      <c r="I358" s="101" t="n">
        <v>22037.67</v>
      </c>
      <c r="J358" s="101" t="n">
        <v>19000.72</v>
      </c>
      <c r="K358" s="101" t="n">
        <v>14674.08</v>
      </c>
      <c r="L358" s="102" t="n">
        <v>3036.95</v>
      </c>
      <c r="M358" s="103" t="n">
        <v>0.1378</v>
      </c>
      <c r="N358" s="104" t="n">
        <v>0.8621927817232948</v>
      </c>
      <c r="O358" s="105" t="inlineStr">
        <is>
          <t>Under</t>
        </is>
      </c>
      <c r="P358" s="69" t="inlineStr">
        <is>
          <t>On Track</t>
        </is>
      </c>
    </row>
    <row r="359" ht="16" customHeight="1">
      <c r="A359" s="106" t="inlineStr">
        <is>
          <t>CC-00358</t>
        </is>
      </c>
      <c r="B359" s="71" t="inlineStr">
        <is>
          <t>EVT-2025-033</t>
        </is>
      </c>
      <c r="C359" s="70" t="inlineStr">
        <is>
          <t>Caprexosin Advisory Board Athens Dec 2025</t>
        </is>
      </c>
      <c r="D359" s="70" t="inlineStr">
        <is>
          <t>Oncology</t>
        </is>
      </c>
      <c r="E359" s="70" t="inlineStr">
        <is>
          <t>BU Oncology</t>
        </is>
      </c>
      <c r="F359" s="71" t="inlineStr">
        <is>
          <t>AV &amp; Technology</t>
        </is>
      </c>
      <c r="G359" s="71" t="inlineStr">
        <is>
          <t>Dec-2025</t>
        </is>
      </c>
      <c r="H359" s="71" t="inlineStr">
        <is>
          <t>Q4 2025</t>
        </is>
      </c>
      <c r="I359" s="73" t="n">
        <v>29383.56</v>
      </c>
      <c r="J359" s="73" t="n">
        <v>26735.82</v>
      </c>
      <c r="K359" s="73" t="n">
        <v>20739.66</v>
      </c>
      <c r="L359" s="80" t="n">
        <v>2647.74</v>
      </c>
      <c r="M359" s="78" t="n">
        <v>0.0901</v>
      </c>
      <c r="N359" s="107" t="n">
        <v>0.9098904285253386</v>
      </c>
      <c r="O359" s="108" t="inlineStr">
        <is>
          <t>Under</t>
        </is>
      </c>
      <c r="P359" s="69" t="inlineStr">
        <is>
          <t>On Track</t>
        </is>
      </c>
    </row>
    <row r="360" ht="16" customHeight="1">
      <c r="A360" s="98" t="inlineStr">
        <is>
          <t>CC-00359</t>
        </is>
      </c>
      <c r="B360" s="99" t="inlineStr">
        <is>
          <t>EVT-2025-033</t>
        </is>
      </c>
      <c r="C360" s="100" t="inlineStr">
        <is>
          <t>Caprexosin Advisory Board Athens Dec 2025</t>
        </is>
      </c>
      <c r="D360" s="100" t="inlineStr">
        <is>
          <t>Oncology</t>
        </is>
      </c>
      <c r="E360" s="100" t="inlineStr">
        <is>
          <t>BU Oncology</t>
        </is>
      </c>
      <c r="F360" s="99" t="inlineStr">
        <is>
          <t>Agency Fees</t>
        </is>
      </c>
      <c r="G360" s="99" t="inlineStr">
        <is>
          <t>Dec-2025</t>
        </is>
      </c>
      <c r="H360" s="99" t="inlineStr">
        <is>
          <t>Q4 2025</t>
        </is>
      </c>
      <c r="I360" s="101" t="n">
        <v>51421.23</v>
      </c>
      <c r="J360" s="101" t="n">
        <v>39965.64</v>
      </c>
      <c r="K360" s="101" t="n">
        <v>37506.99</v>
      </c>
      <c r="L360" s="102" t="n">
        <v>11455.59</v>
      </c>
      <c r="M360" s="103" t="n">
        <v>0.2228</v>
      </c>
      <c r="N360" s="104" t="n">
        <v>0.7772206149094449</v>
      </c>
      <c r="O360" s="105" t="inlineStr">
        <is>
          <t>Under</t>
        </is>
      </c>
      <c r="P360" s="69" t="inlineStr">
        <is>
          <t>On Track</t>
        </is>
      </c>
    </row>
    <row r="361" ht="16" customHeight="1">
      <c r="A361" s="106" t="inlineStr">
        <is>
          <t>CC-00360</t>
        </is>
      </c>
      <c r="B361" s="71" t="inlineStr">
        <is>
          <t>EVT-2025-033</t>
        </is>
      </c>
      <c r="C361" s="70" t="inlineStr">
        <is>
          <t>Caprexosin Advisory Board Athens Dec 2025</t>
        </is>
      </c>
      <c r="D361" s="70" t="inlineStr">
        <is>
          <t>Oncology</t>
        </is>
      </c>
      <c r="E361" s="70" t="inlineStr">
        <is>
          <t>BU Oncology</t>
        </is>
      </c>
      <c r="F361" s="71" t="inlineStr">
        <is>
          <t>Speaker Fees</t>
        </is>
      </c>
      <c r="G361" s="71" t="inlineStr">
        <is>
          <t>Dec-2025</t>
        </is>
      </c>
      <c r="H361" s="71" t="inlineStr">
        <is>
          <t>Q4 2025</t>
        </is>
      </c>
      <c r="I361" s="73" t="n">
        <v>36729.45</v>
      </c>
      <c r="J361" s="73" t="n">
        <v>23488.84</v>
      </c>
      <c r="K361" s="73" t="n">
        <v>23202.03</v>
      </c>
      <c r="L361" s="80" t="n">
        <v>13240.61</v>
      </c>
      <c r="M361" s="78" t="n">
        <v>0.3605</v>
      </c>
      <c r="N361" s="107" t="n">
        <v>0.6395097122336436</v>
      </c>
      <c r="O361" s="108" t="inlineStr">
        <is>
          <t>Under</t>
        </is>
      </c>
      <c r="P361" s="69" t="inlineStr">
        <is>
          <t>On Track</t>
        </is>
      </c>
    </row>
    <row r="362" ht="16" customHeight="1">
      <c r="A362" s="98" t="inlineStr">
        <is>
          <t>CC-00361</t>
        </is>
      </c>
      <c r="B362" s="99" t="inlineStr">
        <is>
          <t>EVT-2025-033</t>
        </is>
      </c>
      <c r="C362" s="100" t="inlineStr">
        <is>
          <t>Caprexosin Advisory Board Athens Dec 2025</t>
        </is>
      </c>
      <c r="D362" s="100" t="inlineStr">
        <is>
          <t>Oncology</t>
        </is>
      </c>
      <c r="E362" s="100" t="inlineStr">
        <is>
          <t>BU Oncology</t>
        </is>
      </c>
      <c r="F362" s="99" t="inlineStr">
        <is>
          <t>Translation</t>
        </is>
      </c>
      <c r="G362" s="99" t="inlineStr">
        <is>
          <t>Dec-2025</t>
        </is>
      </c>
      <c r="H362" s="99" t="inlineStr">
        <is>
          <t>Q4 2025</t>
        </is>
      </c>
      <c r="I362" s="101" t="n">
        <v>11018.83</v>
      </c>
      <c r="J362" s="101" t="n">
        <v>9140.110000000001</v>
      </c>
      <c r="K362" s="101" t="n">
        <v>7064.96</v>
      </c>
      <c r="L362" s="102" t="n">
        <v>1878.72</v>
      </c>
      <c r="M362" s="103" t="n">
        <v>0.1705</v>
      </c>
      <c r="N362" s="104" t="n">
        <v>0.8294991392008045</v>
      </c>
      <c r="O362" s="105" t="inlineStr">
        <is>
          <t>Under</t>
        </is>
      </c>
      <c r="P362" s="69" t="inlineStr">
        <is>
          <t>On Track</t>
        </is>
      </c>
    </row>
    <row r="363" ht="16" customHeight="1">
      <c r="A363" s="106" t="inlineStr">
        <is>
          <t>CC-00362</t>
        </is>
      </c>
      <c r="B363" s="71" t="inlineStr">
        <is>
          <t>EVT-2025-033</t>
        </is>
      </c>
      <c r="C363" s="70" t="inlineStr">
        <is>
          <t>Caprexosin Advisory Board Athens Dec 2025</t>
        </is>
      </c>
      <c r="D363" s="70" t="inlineStr">
        <is>
          <t>Oncology</t>
        </is>
      </c>
      <c r="E363" s="70" t="inlineStr">
        <is>
          <t>BU Oncology</t>
        </is>
      </c>
      <c r="F363" s="71" t="inlineStr">
        <is>
          <t>Print &amp; Production</t>
        </is>
      </c>
      <c r="G363" s="71" t="inlineStr">
        <is>
          <t>Dec-2025</t>
        </is>
      </c>
      <c r="H363" s="71" t="inlineStr">
        <is>
          <t>Q4 2025</t>
        </is>
      </c>
      <c r="I363" s="73" t="n">
        <v>7345.89</v>
      </c>
      <c r="J363" s="73" t="n">
        <v>6968.44</v>
      </c>
      <c r="K363" s="73" t="n">
        <v>5505.01</v>
      </c>
      <c r="L363" s="80" t="n">
        <v>377.45</v>
      </c>
      <c r="M363" s="78" t="n">
        <v>0.0514</v>
      </c>
      <c r="N363" s="107" t="n">
        <v>0.948617526262985</v>
      </c>
      <c r="O363" s="108" t="inlineStr">
        <is>
          <t>Under</t>
        </is>
      </c>
      <c r="P363" s="69" t="inlineStr">
        <is>
          <t>On Track</t>
        </is>
      </c>
    </row>
    <row r="364" ht="16" customHeight="1">
      <c r="A364" s="98" t="inlineStr">
        <is>
          <t>CC-00363</t>
        </is>
      </c>
      <c r="B364" s="99" t="inlineStr">
        <is>
          <t>EVT-2025-033</t>
        </is>
      </c>
      <c r="C364" s="100" t="inlineStr">
        <is>
          <t>Caprexosin Advisory Board Athens Dec 2025</t>
        </is>
      </c>
      <c r="D364" s="100" t="inlineStr">
        <is>
          <t>Oncology</t>
        </is>
      </c>
      <c r="E364" s="100" t="inlineStr">
        <is>
          <t>BU Oncology</t>
        </is>
      </c>
      <c r="F364" s="99" t="inlineStr">
        <is>
          <t>Miscellaneous</t>
        </is>
      </c>
      <c r="G364" s="99" t="inlineStr">
        <is>
          <t>Dec-2025</t>
        </is>
      </c>
      <c r="H364" s="99" t="inlineStr">
        <is>
          <t>Q4 2025</t>
        </is>
      </c>
      <c r="I364" s="101" t="n">
        <v>7345.89</v>
      </c>
      <c r="J364" s="101" t="n">
        <v>7448.96</v>
      </c>
      <c r="K364" s="101" t="n">
        <v>5394.43</v>
      </c>
      <c r="L364" s="109" t="n">
        <v>-103.07</v>
      </c>
      <c r="M364" s="103" t="n">
        <v>-0.014</v>
      </c>
      <c r="N364" s="104" t="n">
        <v>1.014030975143924</v>
      </c>
      <c r="O364" s="111" t="inlineStr">
        <is>
          <t>Over</t>
        </is>
      </c>
      <c r="P364" s="69" t="inlineStr">
        <is>
          <t>On Track</t>
        </is>
      </c>
    </row>
    <row r="365" ht="16" customHeight="1">
      <c r="A365" s="106" t="inlineStr">
        <is>
          <t>CC-00364</t>
        </is>
      </c>
      <c r="B365" s="71" t="inlineStr">
        <is>
          <t>EVT-2025-034</t>
        </is>
      </c>
      <c r="C365" s="70" t="inlineStr">
        <is>
          <t>Antivex Internal Meeting Lisbon Mar 2025</t>
        </is>
      </c>
      <c r="D365" s="70" t="inlineStr">
        <is>
          <t>Infectious Diseases</t>
        </is>
      </c>
      <c r="E365" s="70" t="inlineStr">
        <is>
          <t>BU Infectious Diseases</t>
        </is>
      </c>
      <c r="F365" s="71" t="inlineStr">
        <is>
          <t>Airfare</t>
        </is>
      </c>
      <c r="G365" s="71" t="inlineStr">
        <is>
          <t>Mar-2025</t>
        </is>
      </c>
      <c r="H365" s="71" t="inlineStr">
        <is>
          <t>Q1 2025</t>
        </is>
      </c>
      <c r="I365" s="73" t="n">
        <v>1913.81</v>
      </c>
      <c r="J365" s="73" t="n">
        <v>2097.22</v>
      </c>
      <c r="K365" s="73" t="n">
        <v>1876.95</v>
      </c>
      <c r="L365" s="74" t="n">
        <v>-183.41</v>
      </c>
      <c r="M365" s="75" t="n">
        <v>-0.0958</v>
      </c>
      <c r="N365" s="107" t="n">
        <v>1.095835009744959</v>
      </c>
      <c r="O365" s="112" t="inlineStr">
        <is>
          <t>Over</t>
        </is>
      </c>
      <c r="P365" s="76" t="inlineStr">
        <is>
          <t>Watch</t>
        </is>
      </c>
    </row>
    <row r="366" ht="16" customHeight="1">
      <c r="A366" s="98" t="inlineStr">
        <is>
          <t>CC-00365</t>
        </is>
      </c>
      <c r="B366" s="99" t="inlineStr">
        <is>
          <t>EVT-2025-034</t>
        </is>
      </c>
      <c r="C366" s="100" t="inlineStr">
        <is>
          <t>Antivex Internal Meeting Lisbon Mar 2025</t>
        </is>
      </c>
      <c r="D366" s="100" t="inlineStr">
        <is>
          <t>Infectious Diseases</t>
        </is>
      </c>
      <c r="E366" s="100" t="inlineStr">
        <is>
          <t>BU Infectious Diseases</t>
        </is>
      </c>
      <c r="F366" s="99" t="inlineStr">
        <is>
          <t>Hotel</t>
        </is>
      </c>
      <c r="G366" s="99" t="inlineStr">
        <is>
          <t>Mar-2025</t>
        </is>
      </c>
      <c r="H366" s="99" t="inlineStr">
        <is>
          <t>Q1 2025</t>
        </is>
      </c>
      <c r="I366" s="101" t="n">
        <v>3444.85</v>
      </c>
      <c r="J366" s="101" t="n">
        <v>2121.48</v>
      </c>
      <c r="K366" s="101" t="n">
        <v>1742.97</v>
      </c>
      <c r="L366" s="102" t="n">
        <v>1323.37</v>
      </c>
      <c r="M366" s="103" t="n">
        <v>0.3842</v>
      </c>
      <c r="N366" s="104" t="n">
        <v>0.6158410380713238</v>
      </c>
      <c r="O366" s="105" t="inlineStr">
        <is>
          <t>Under</t>
        </is>
      </c>
      <c r="P366" s="69" t="inlineStr">
        <is>
          <t>On Track</t>
        </is>
      </c>
    </row>
    <row r="367" ht="16" customHeight="1">
      <c r="A367" s="106" t="inlineStr">
        <is>
          <t>CC-00366</t>
        </is>
      </c>
      <c r="B367" s="71" t="inlineStr">
        <is>
          <t>EVT-2025-034</t>
        </is>
      </c>
      <c r="C367" s="70" t="inlineStr">
        <is>
          <t>Antivex Internal Meeting Lisbon Mar 2025</t>
        </is>
      </c>
      <c r="D367" s="70" t="inlineStr">
        <is>
          <t>Infectious Diseases</t>
        </is>
      </c>
      <c r="E367" s="70" t="inlineStr">
        <is>
          <t>BU Infectious Diseases</t>
        </is>
      </c>
      <c r="F367" s="71" t="inlineStr">
        <is>
          <t>Venue</t>
        </is>
      </c>
      <c r="G367" s="71" t="inlineStr">
        <is>
          <t>Mar-2025</t>
        </is>
      </c>
      <c r="H367" s="71" t="inlineStr">
        <is>
          <t>Q1 2025</t>
        </is>
      </c>
      <c r="I367" s="73" t="n">
        <v>2870.71</v>
      </c>
      <c r="J367" s="73" t="n">
        <v>2263.8</v>
      </c>
      <c r="K367" s="73" t="n">
        <v>1907.93</v>
      </c>
      <c r="L367" s="80" t="n">
        <v>606.91</v>
      </c>
      <c r="M367" s="78" t="n">
        <v>0.2114</v>
      </c>
      <c r="N367" s="107" t="n">
        <v>0.7885854022175699</v>
      </c>
      <c r="O367" s="108" t="inlineStr">
        <is>
          <t>Under</t>
        </is>
      </c>
      <c r="P367" s="69" t="inlineStr">
        <is>
          <t>On Track</t>
        </is>
      </c>
    </row>
    <row r="368" ht="16" customHeight="1">
      <c r="A368" s="98" t="inlineStr">
        <is>
          <t>CC-00367</t>
        </is>
      </c>
      <c r="B368" s="99" t="inlineStr">
        <is>
          <t>EVT-2025-034</t>
        </is>
      </c>
      <c r="C368" s="100" t="inlineStr">
        <is>
          <t>Antivex Internal Meeting Lisbon Mar 2025</t>
        </is>
      </c>
      <c r="D368" s="100" t="inlineStr">
        <is>
          <t>Infectious Diseases</t>
        </is>
      </c>
      <c r="E368" s="100" t="inlineStr">
        <is>
          <t>BU Infectious Diseases</t>
        </is>
      </c>
      <c r="F368" s="99" t="inlineStr">
        <is>
          <t>F&amp;B</t>
        </is>
      </c>
      <c r="G368" s="99" t="inlineStr">
        <is>
          <t>Mar-2025</t>
        </is>
      </c>
      <c r="H368" s="99" t="inlineStr">
        <is>
          <t>Q1 2025</t>
        </is>
      </c>
      <c r="I368" s="101" t="n">
        <v>2296.57</v>
      </c>
      <c r="J368" s="101" t="n">
        <v>2109.11</v>
      </c>
      <c r="K368" s="101" t="n">
        <v>1921.09</v>
      </c>
      <c r="L368" s="102" t="n">
        <v>187.46</v>
      </c>
      <c r="M368" s="103" t="n">
        <v>0.08160000000000001</v>
      </c>
      <c r="N368" s="104" t="n">
        <v>0.9183739228501635</v>
      </c>
      <c r="O368" s="105" t="inlineStr">
        <is>
          <t>Under</t>
        </is>
      </c>
      <c r="P368" s="69" t="inlineStr">
        <is>
          <t>On Track</t>
        </is>
      </c>
    </row>
    <row r="369" ht="16" customHeight="1">
      <c r="A369" s="106" t="inlineStr">
        <is>
          <t>CC-00368</t>
        </is>
      </c>
      <c r="B369" s="71" t="inlineStr">
        <is>
          <t>EVT-2025-034</t>
        </is>
      </c>
      <c r="C369" s="70" t="inlineStr">
        <is>
          <t>Antivex Internal Meeting Lisbon Mar 2025</t>
        </is>
      </c>
      <c r="D369" s="70" t="inlineStr">
        <is>
          <t>Infectious Diseases</t>
        </is>
      </c>
      <c r="E369" s="70" t="inlineStr">
        <is>
          <t>BU Infectious Diseases</t>
        </is>
      </c>
      <c r="F369" s="71" t="inlineStr">
        <is>
          <t>Logistics</t>
        </is>
      </c>
      <c r="G369" s="71" t="inlineStr">
        <is>
          <t>Mar-2025</t>
        </is>
      </c>
      <c r="H369" s="71" t="inlineStr">
        <is>
          <t>Q1 2025</t>
        </is>
      </c>
      <c r="I369" s="73" t="n">
        <v>1148.28</v>
      </c>
      <c r="J369" s="73" t="n">
        <v>736.4400000000001</v>
      </c>
      <c r="K369" s="73" t="n">
        <v>702.27</v>
      </c>
      <c r="L369" s="80" t="n">
        <v>411.84</v>
      </c>
      <c r="M369" s="78" t="n">
        <v>0.3587</v>
      </c>
      <c r="N369" s="107" t="n">
        <v>0.6413418330024037</v>
      </c>
      <c r="O369" s="108" t="inlineStr">
        <is>
          <t>Under</t>
        </is>
      </c>
      <c r="P369" s="69" t="inlineStr">
        <is>
          <t>On Track</t>
        </is>
      </c>
    </row>
    <row r="370" ht="16" customHeight="1">
      <c r="A370" s="98" t="inlineStr">
        <is>
          <t>CC-00369</t>
        </is>
      </c>
      <c r="B370" s="99" t="inlineStr">
        <is>
          <t>EVT-2025-034</t>
        </is>
      </c>
      <c r="C370" s="100" t="inlineStr">
        <is>
          <t>Antivex Internal Meeting Lisbon Mar 2025</t>
        </is>
      </c>
      <c r="D370" s="100" t="inlineStr">
        <is>
          <t>Infectious Diseases</t>
        </is>
      </c>
      <c r="E370" s="100" t="inlineStr">
        <is>
          <t>BU Infectious Diseases</t>
        </is>
      </c>
      <c r="F370" s="99" t="inlineStr">
        <is>
          <t>AV &amp; Technology</t>
        </is>
      </c>
      <c r="G370" s="99" t="inlineStr">
        <is>
          <t>Mar-2025</t>
        </is>
      </c>
      <c r="H370" s="99" t="inlineStr">
        <is>
          <t>Q1 2025</t>
        </is>
      </c>
      <c r="I370" s="101" t="n">
        <v>1531.05</v>
      </c>
      <c r="J370" s="101" t="n">
        <v>1412.32</v>
      </c>
      <c r="K370" s="101" t="n">
        <v>1128.98</v>
      </c>
      <c r="L370" s="102" t="n">
        <v>118.73</v>
      </c>
      <c r="M370" s="103" t="n">
        <v>0.0775</v>
      </c>
      <c r="N370" s="104" t="n">
        <v>0.9224519120864766</v>
      </c>
      <c r="O370" s="105" t="inlineStr">
        <is>
          <t>Under</t>
        </is>
      </c>
      <c r="P370" s="69" t="inlineStr">
        <is>
          <t>On Track</t>
        </is>
      </c>
    </row>
    <row r="371" ht="16" customHeight="1">
      <c r="A371" s="106" t="inlineStr">
        <is>
          <t>CC-00370</t>
        </is>
      </c>
      <c r="B371" s="71" t="inlineStr">
        <is>
          <t>EVT-2025-034</t>
        </is>
      </c>
      <c r="C371" s="70" t="inlineStr">
        <is>
          <t>Antivex Internal Meeting Lisbon Mar 2025</t>
        </is>
      </c>
      <c r="D371" s="70" t="inlineStr">
        <is>
          <t>Infectious Diseases</t>
        </is>
      </c>
      <c r="E371" s="70" t="inlineStr">
        <is>
          <t>BU Infectious Diseases</t>
        </is>
      </c>
      <c r="F371" s="71" t="inlineStr">
        <is>
          <t>Agency Fees</t>
        </is>
      </c>
      <c r="G371" s="71" t="inlineStr">
        <is>
          <t>Mar-2025</t>
        </is>
      </c>
      <c r="H371" s="71" t="inlineStr">
        <is>
          <t>Q1 2025</t>
        </is>
      </c>
      <c r="I371" s="73" t="n">
        <v>2679.33</v>
      </c>
      <c r="J371" s="73" t="n">
        <v>2916.89</v>
      </c>
      <c r="K371" s="73" t="n">
        <v>2894</v>
      </c>
      <c r="L371" s="74" t="n">
        <v>-237.56</v>
      </c>
      <c r="M371" s="75" t="n">
        <v>-0.0887</v>
      </c>
      <c r="N371" s="107" t="n">
        <v>1.088663957034035</v>
      </c>
      <c r="O371" s="112" t="inlineStr">
        <is>
          <t>Over</t>
        </is>
      </c>
      <c r="P371" s="76" t="inlineStr">
        <is>
          <t>Watch</t>
        </is>
      </c>
    </row>
    <row r="372" ht="16" customHeight="1">
      <c r="A372" s="98" t="inlineStr">
        <is>
          <t>CC-00371</t>
        </is>
      </c>
      <c r="B372" s="99" t="inlineStr">
        <is>
          <t>EVT-2025-034</t>
        </is>
      </c>
      <c r="C372" s="100" t="inlineStr">
        <is>
          <t>Antivex Internal Meeting Lisbon Mar 2025</t>
        </is>
      </c>
      <c r="D372" s="100" t="inlineStr">
        <is>
          <t>Infectious Diseases</t>
        </is>
      </c>
      <c r="E372" s="100" t="inlineStr">
        <is>
          <t>BU Infectious Diseases</t>
        </is>
      </c>
      <c r="F372" s="99" t="inlineStr">
        <is>
          <t>Speaker Fees</t>
        </is>
      </c>
      <c r="G372" s="99" t="inlineStr">
        <is>
          <t>Mar-2025</t>
        </is>
      </c>
      <c r="H372" s="99" t="inlineStr">
        <is>
          <t>Q1 2025</t>
        </is>
      </c>
      <c r="I372" s="101" t="n">
        <v>1913.81</v>
      </c>
      <c r="J372" s="101" t="n">
        <v>2004.52</v>
      </c>
      <c r="K372" s="101" t="n">
        <v>1955.9</v>
      </c>
      <c r="L372" s="109" t="n">
        <v>-90.70999999999999</v>
      </c>
      <c r="M372" s="103" t="n">
        <v>-0.0474</v>
      </c>
      <c r="N372" s="104" t="n">
        <v>1.047397599552725</v>
      </c>
      <c r="O372" s="111" t="inlineStr">
        <is>
          <t>Over</t>
        </is>
      </c>
      <c r="P372" s="69" t="inlineStr">
        <is>
          <t>On Track</t>
        </is>
      </c>
    </row>
    <row r="373" ht="16" customHeight="1">
      <c r="A373" s="106" t="inlineStr">
        <is>
          <t>CC-00372</t>
        </is>
      </c>
      <c r="B373" s="71" t="inlineStr">
        <is>
          <t>EVT-2025-034</t>
        </is>
      </c>
      <c r="C373" s="70" t="inlineStr">
        <is>
          <t>Antivex Internal Meeting Lisbon Mar 2025</t>
        </is>
      </c>
      <c r="D373" s="70" t="inlineStr">
        <is>
          <t>Infectious Diseases</t>
        </is>
      </c>
      <c r="E373" s="70" t="inlineStr">
        <is>
          <t>BU Infectious Diseases</t>
        </is>
      </c>
      <c r="F373" s="71" t="inlineStr">
        <is>
          <t>Translation</t>
        </is>
      </c>
      <c r="G373" s="71" t="inlineStr">
        <is>
          <t>Mar-2025</t>
        </is>
      </c>
      <c r="H373" s="71" t="inlineStr">
        <is>
          <t>Q1 2025</t>
        </is>
      </c>
      <c r="I373" s="73" t="n">
        <v>574.14</v>
      </c>
      <c r="J373" s="73" t="n">
        <v>410.44</v>
      </c>
      <c r="K373" s="73" t="n">
        <v>398.28</v>
      </c>
      <c r="L373" s="80" t="n">
        <v>163.7</v>
      </c>
      <c r="M373" s="78" t="n">
        <v>0.2851</v>
      </c>
      <c r="N373" s="107" t="n">
        <v>0.7148779043438883</v>
      </c>
      <c r="O373" s="108" t="inlineStr">
        <is>
          <t>Under</t>
        </is>
      </c>
      <c r="P373" s="69" t="inlineStr">
        <is>
          <t>On Track</t>
        </is>
      </c>
    </row>
    <row r="374" ht="16" customHeight="1">
      <c r="A374" s="98" t="inlineStr">
        <is>
          <t>CC-00373</t>
        </is>
      </c>
      <c r="B374" s="99" t="inlineStr">
        <is>
          <t>EVT-2025-034</t>
        </is>
      </c>
      <c r="C374" s="100" t="inlineStr">
        <is>
          <t>Antivex Internal Meeting Lisbon Mar 2025</t>
        </is>
      </c>
      <c r="D374" s="100" t="inlineStr">
        <is>
          <t>Infectious Diseases</t>
        </is>
      </c>
      <c r="E374" s="100" t="inlineStr">
        <is>
          <t>BU Infectious Diseases</t>
        </is>
      </c>
      <c r="F374" s="99" t="inlineStr">
        <is>
          <t>Print &amp; Production</t>
        </is>
      </c>
      <c r="G374" s="99" t="inlineStr">
        <is>
          <t>Mar-2025</t>
        </is>
      </c>
      <c r="H374" s="99" t="inlineStr">
        <is>
          <t>Q1 2025</t>
        </is>
      </c>
      <c r="I374" s="101" t="n">
        <v>382.76</v>
      </c>
      <c r="J374" s="101" t="n">
        <v>362.15</v>
      </c>
      <c r="K374" s="101" t="n">
        <v>315.08</v>
      </c>
      <c r="L374" s="102" t="n">
        <v>20.61</v>
      </c>
      <c r="M374" s="103" t="n">
        <v>0.0538</v>
      </c>
      <c r="N374" s="104" t="n">
        <v>0.9461542480927996</v>
      </c>
      <c r="O374" s="105" t="inlineStr">
        <is>
          <t>Under</t>
        </is>
      </c>
      <c r="P374" s="69" t="inlineStr">
        <is>
          <t>On Track</t>
        </is>
      </c>
    </row>
    <row r="375" ht="16" customHeight="1">
      <c r="A375" s="106" t="inlineStr">
        <is>
          <t>CC-00374</t>
        </is>
      </c>
      <c r="B375" s="71" t="inlineStr">
        <is>
          <t>EVT-2025-034</t>
        </is>
      </c>
      <c r="C375" s="70" t="inlineStr">
        <is>
          <t>Antivex Internal Meeting Lisbon Mar 2025</t>
        </is>
      </c>
      <c r="D375" s="70" t="inlineStr">
        <is>
          <t>Infectious Diseases</t>
        </is>
      </c>
      <c r="E375" s="70" t="inlineStr">
        <is>
          <t>BU Infectious Diseases</t>
        </is>
      </c>
      <c r="F375" s="71" t="inlineStr">
        <is>
          <t>Miscellaneous</t>
        </is>
      </c>
      <c r="G375" s="71" t="inlineStr">
        <is>
          <t>Mar-2025</t>
        </is>
      </c>
      <c r="H375" s="71" t="inlineStr">
        <is>
          <t>Q1 2025</t>
        </is>
      </c>
      <c r="I375" s="73" t="n">
        <v>382.76</v>
      </c>
      <c r="J375" s="73" t="n">
        <v>281.54</v>
      </c>
      <c r="K375" s="73" t="n">
        <v>275.13</v>
      </c>
      <c r="L375" s="80" t="n">
        <v>101.22</v>
      </c>
      <c r="M375" s="78" t="n">
        <v>0.2644</v>
      </c>
      <c r="N375" s="107" t="n">
        <v>0.7355523043160206</v>
      </c>
      <c r="O375" s="108" t="inlineStr">
        <is>
          <t>Under</t>
        </is>
      </c>
      <c r="P375" s="69" t="inlineStr">
        <is>
          <t>On Track</t>
        </is>
      </c>
    </row>
    <row r="376" ht="16" customHeight="1">
      <c r="A376" s="98" t="inlineStr">
        <is>
          <t>CC-00375</t>
        </is>
      </c>
      <c r="B376" s="99" t="inlineStr">
        <is>
          <t>EVT-2025-035</t>
        </is>
      </c>
      <c r="C376" s="100" t="inlineStr">
        <is>
          <t>Cordavex Webinar Amsterdam Sep 2025</t>
        </is>
      </c>
      <c r="D376" s="100" t="inlineStr">
        <is>
          <t>Cardiology</t>
        </is>
      </c>
      <c r="E376" s="100" t="inlineStr">
        <is>
          <t>BU Cardiovascular</t>
        </is>
      </c>
      <c r="F376" s="99" t="inlineStr">
        <is>
          <t>Airfare</t>
        </is>
      </c>
      <c r="G376" s="99" t="inlineStr">
        <is>
          <t>Sep-2025</t>
        </is>
      </c>
      <c r="H376" s="99" t="inlineStr">
        <is>
          <t>Q3 2025</t>
        </is>
      </c>
      <c r="I376" s="101" t="n">
        <v>43402.67</v>
      </c>
      <c r="J376" s="101" t="n">
        <v>40894.62</v>
      </c>
      <c r="K376" s="101" t="n">
        <v>0</v>
      </c>
      <c r="L376" s="102" t="n">
        <v>2508.05</v>
      </c>
      <c r="M376" s="103" t="n">
        <v>0.0578</v>
      </c>
      <c r="N376" s="104" t="n">
        <v>0.9422143845067597</v>
      </c>
      <c r="O376" s="105" t="inlineStr">
        <is>
          <t>Under</t>
        </is>
      </c>
      <c r="P376" s="69" t="inlineStr">
        <is>
          <t>On Track</t>
        </is>
      </c>
    </row>
    <row r="377" ht="16" customHeight="1">
      <c r="A377" s="106" t="inlineStr">
        <is>
          <t>CC-00376</t>
        </is>
      </c>
      <c r="B377" s="71" t="inlineStr">
        <is>
          <t>EVT-2025-035</t>
        </is>
      </c>
      <c r="C377" s="70" t="inlineStr">
        <is>
          <t>Cordavex Webinar Amsterdam Sep 2025</t>
        </is>
      </c>
      <c r="D377" s="70" t="inlineStr">
        <is>
          <t>Cardiology</t>
        </is>
      </c>
      <c r="E377" s="70" t="inlineStr">
        <is>
          <t>BU Cardiovascular</t>
        </is>
      </c>
      <c r="F377" s="71" t="inlineStr">
        <is>
          <t>Hotel</t>
        </is>
      </c>
      <c r="G377" s="71" t="inlineStr">
        <is>
          <t>Sep-2025</t>
        </is>
      </c>
      <c r="H377" s="71" t="inlineStr">
        <is>
          <t>Q3 2025</t>
        </is>
      </c>
      <c r="I377" s="73" t="n">
        <v>78124.8</v>
      </c>
      <c r="J377" s="73" t="n">
        <v>57826.92</v>
      </c>
      <c r="K377" s="73" t="n">
        <v>0</v>
      </c>
      <c r="L377" s="80" t="n">
        <v>20297.88</v>
      </c>
      <c r="M377" s="78" t="n">
        <v>0.2598</v>
      </c>
      <c r="N377" s="107" t="n">
        <v>0.7401864708773654</v>
      </c>
      <c r="O377" s="108" t="inlineStr">
        <is>
          <t>Under</t>
        </is>
      </c>
      <c r="P377" s="69" t="inlineStr">
        <is>
          <t>On Track</t>
        </is>
      </c>
    </row>
    <row r="378" ht="16" customHeight="1">
      <c r="A378" s="98" t="inlineStr">
        <is>
          <t>CC-00377</t>
        </is>
      </c>
      <c r="B378" s="99" t="inlineStr">
        <is>
          <t>EVT-2025-035</t>
        </is>
      </c>
      <c r="C378" s="100" t="inlineStr">
        <is>
          <t>Cordavex Webinar Amsterdam Sep 2025</t>
        </is>
      </c>
      <c r="D378" s="100" t="inlineStr">
        <is>
          <t>Cardiology</t>
        </is>
      </c>
      <c r="E378" s="100" t="inlineStr">
        <is>
          <t>BU Cardiovascular</t>
        </is>
      </c>
      <c r="F378" s="99" t="inlineStr">
        <is>
          <t>Venue</t>
        </is>
      </c>
      <c r="G378" s="99" t="inlineStr">
        <is>
          <t>Sep-2025</t>
        </is>
      </c>
      <c r="H378" s="99" t="inlineStr">
        <is>
          <t>Q3 2025</t>
        </is>
      </c>
      <c r="I378" s="101" t="n">
        <v>65104</v>
      </c>
      <c r="J378" s="101" t="n">
        <v>56739.14</v>
      </c>
      <c r="K378" s="101" t="n">
        <v>0</v>
      </c>
      <c r="L378" s="102" t="n">
        <v>8364.860000000001</v>
      </c>
      <c r="M378" s="103" t="n">
        <v>0.1285</v>
      </c>
      <c r="N378" s="104" t="n">
        <v>0.871515421479479</v>
      </c>
      <c r="O378" s="105" t="inlineStr">
        <is>
          <t>Under</t>
        </is>
      </c>
      <c r="P378" s="69" t="inlineStr">
        <is>
          <t>On Track</t>
        </is>
      </c>
    </row>
    <row r="379" ht="16" customHeight="1">
      <c r="A379" s="106" t="inlineStr">
        <is>
          <t>CC-00378</t>
        </is>
      </c>
      <c r="B379" s="71" t="inlineStr">
        <is>
          <t>EVT-2025-035</t>
        </is>
      </c>
      <c r="C379" s="70" t="inlineStr">
        <is>
          <t>Cordavex Webinar Amsterdam Sep 2025</t>
        </is>
      </c>
      <c r="D379" s="70" t="inlineStr">
        <is>
          <t>Cardiology</t>
        </is>
      </c>
      <c r="E379" s="70" t="inlineStr">
        <is>
          <t>BU Cardiovascular</t>
        </is>
      </c>
      <c r="F379" s="71" t="inlineStr">
        <is>
          <t>F&amp;B</t>
        </is>
      </c>
      <c r="G379" s="71" t="inlineStr">
        <is>
          <t>Sep-2025</t>
        </is>
      </c>
      <c r="H379" s="71" t="inlineStr">
        <is>
          <t>Q3 2025</t>
        </is>
      </c>
      <c r="I379" s="73" t="n">
        <v>52083.2</v>
      </c>
      <c r="J379" s="73" t="n">
        <v>48388.14</v>
      </c>
      <c r="K379" s="73" t="n">
        <v>0</v>
      </c>
      <c r="L379" s="80" t="n">
        <v>3695.06</v>
      </c>
      <c r="M379" s="78" t="n">
        <v>0.0709</v>
      </c>
      <c r="N379" s="107" t="n">
        <v>0.9290546663799459</v>
      </c>
      <c r="O379" s="108" t="inlineStr">
        <is>
          <t>Under</t>
        </is>
      </c>
      <c r="P379" s="69" t="inlineStr">
        <is>
          <t>On Track</t>
        </is>
      </c>
    </row>
    <row r="380" ht="16" customHeight="1">
      <c r="A380" s="98" t="inlineStr">
        <is>
          <t>CC-00379</t>
        </is>
      </c>
      <c r="B380" s="99" t="inlineStr">
        <is>
          <t>EVT-2025-035</t>
        </is>
      </c>
      <c r="C380" s="100" t="inlineStr">
        <is>
          <t>Cordavex Webinar Amsterdam Sep 2025</t>
        </is>
      </c>
      <c r="D380" s="100" t="inlineStr">
        <is>
          <t>Cardiology</t>
        </is>
      </c>
      <c r="E380" s="100" t="inlineStr">
        <is>
          <t>BU Cardiovascular</t>
        </is>
      </c>
      <c r="F380" s="99" t="inlineStr">
        <is>
          <t>Logistics</t>
        </is>
      </c>
      <c r="G380" s="99" t="inlineStr">
        <is>
          <t>Sep-2025</t>
        </is>
      </c>
      <c r="H380" s="99" t="inlineStr">
        <is>
          <t>Q3 2025</t>
        </is>
      </c>
      <c r="I380" s="101" t="n">
        <v>26041.6</v>
      </c>
      <c r="J380" s="101" t="n">
        <v>17960.3</v>
      </c>
      <c r="K380" s="101" t="n">
        <v>0</v>
      </c>
      <c r="L380" s="102" t="n">
        <v>8081.3</v>
      </c>
      <c r="M380" s="103" t="n">
        <v>0.3103</v>
      </c>
      <c r="N380" s="104" t="n">
        <v>0.6896772855738511</v>
      </c>
      <c r="O380" s="105" t="inlineStr">
        <is>
          <t>Under</t>
        </is>
      </c>
      <c r="P380" s="69" t="inlineStr">
        <is>
          <t>On Track</t>
        </is>
      </c>
    </row>
    <row r="381" ht="16" customHeight="1">
      <c r="A381" s="106" t="inlineStr">
        <is>
          <t>CC-00380</t>
        </is>
      </c>
      <c r="B381" s="71" t="inlineStr">
        <is>
          <t>EVT-2025-035</t>
        </is>
      </c>
      <c r="C381" s="70" t="inlineStr">
        <is>
          <t>Cordavex Webinar Amsterdam Sep 2025</t>
        </is>
      </c>
      <c r="D381" s="70" t="inlineStr">
        <is>
          <t>Cardiology</t>
        </is>
      </c>
      <c r="E381" s="70" t="inlineStr">
        <is>
          <t>BU Cardiovascular</t>
        </is>
      </c>
      <c r="F381" s="71" t="inlineStr">
        <is>
          <t>AV &amp; Technology</t>
        </is>
      </c>
      <c r="G381" s="71" t="inlineStr">
        <is>
          <t>Sep-2025</t>
        </is>
      </c>
      <c r="H381" s="71" t="inlineStr">
        <is>
          <t>Q3 2025</t>
        </is>
      </c>
      <c r="I381" s="73" t="n">
        <v>34722.13</v>
      </c>
      <c r="J381" s="73" t="n">
        <v>35597.61</v>
      </c>
      <c r="K381" s="73" t="n">
        <v>0</v>
      </c>
      <c r="L381" s="74" t="n">
        <v>-875.48</v>
      </c>
      <c r="M381" s="78" t="n">
        <v>-0.0252</v>
      </c>
      <c r="N381" s="107" t="n">
        <v>1.025213890968095</v>
      </c>
      <c r="O381" s="112" t="inlineStr">
        <is>
          <t>Over</t>
        </is>
      </c>
      <c r="P381" s="69" t="inlineStr">
        <is>
          <t>On Track</t>
        </is>
      </c>
    </row>
    <row r="382" ht="16" customHeight="1">
      <c r="A382" s="98" t="inlineStr">
        <is>
          <t>CC-00381</t>
        </is>
      </c>
      <c r="B382" s="99" t="inlineStr">
        <is>
          <t>EVT-2025-035</t>
        </is>
      </c>
      <c r="C382" s="100" t="inlineStr">
        <is>
          <t>Cordavex Webinar Amsterdam Sep 2025</t>
        </is>
      </c>
      <c r="D382" s="100" t="inlineStr">
        <is>
          <t>Cardiology</t>
        </is>
      </c>
      <c r="E382" s="100" t="inlineStr">
        <is>
          <t>BU Cardiovascular</t>
        </is>
      </c>
      <c r="F382" s="99" t="inlineStr">
        <is>
          <t>Agency Fees</t>
        </is>
      </c>
      <c r="G382" s="99" t="inlineStr">
        <is>
          <t>Sep-2025</t>
        </is>
      </c>
      <c r="H382" s="99" t="inlineStr">
        <is>
          <t>Q3 2025</t>
        </is>
      </c>
      <c r="I382" s="101" t="n">
        <v>60763.73</v>
      </c>
      <c r="J382" s="101" t="n">
        <v>36933.96</v>
      </c>
      <c r="K382" s="101" t="n">
        <v>0</v>
      </c>
      <c r="L382" s="102" t="n">
        <v>23829.77</v>
      </c>
      <c r="M382" s="103" t="n">
        <v>0.3922</v>
      </c>
      <c r="N382" s="104" t="n">
        <v>0.6078290453861209</v>
      </c>
      <c r="O382" s="105" t="inlineStr">
        <is>
          <t>Under</t>
        </is>
      </c>
      <c r="P382" s="69" t="inlineStr">
        <is>
          <t>On Track</t>
        </is>
      </c>
    </row>
    <row r="383" ht="16" customHeight="1">
      <c r="A383" s="106" t="inlineStr">
        <is>
          <t>CC-00382</t>
        </is>
      </c>
      <c r="B383" s="71" t="inlineStr">
        <is>
          <t>EVT-2025-035</t>
        </is>
      </c>
      <c r="C383" s="70" t="inlineStr">
        <is>
          <t>Cordavex Webinar Amsterdam Sep 2025</t>
        </is>
      </c>
      <c r="D383" s="70" t="inlineStr">
        <is>
          <t>Cardiology</t>
        </is>
      </c>
      <c r="E383" s="70" t="inlineStr">
        <is>
          <t>BU Cardiovascular</t>
        </is>
      </c>
      <c r="F383" s="71" t="inlineStr">
        <is>
          <t>Speaker Fees</t>
        </is>
      </c>
      <c r="G383" s="71" t="inlineStr">
        <is>
          <t>Sep-2025</t>
        </is>
      </c>
      <c r="H383" s="71" t="inlineStr">
        <is>
          <t>Q3 2025</t>
        </is>
      </c>
      <c r="I383" s="73" t="n">
        <v>43402.67</v>
      </c>
      <c r="J383" s="73" t="n">
        <v>30537.21</v>
      </c>
      <c r="K383" s="73" t="n">
        <v>0</v>
      </c>
      <c r="L383" s="80" t="n">
        <v>12865.46</v>
      </c>
      <c r="M383" s="78" t="n">
        <v>0.2964</v>
      </c>
      <c r="N383" s="107" t="n">
        <v>0.7035790655275356</v>
      </c>
      <c r="O383" s="108" t="inlineStr">
        <is>
          <t>Under</t>
        </is>
      </c>
      <c r="P383" s="69" t="inlineStr">
        <is>
          <t>On Track</t>
        </is>
      </c>
    </row>
    <row r="384" ht="16" customHeight="1">
      <c r="A384" s="98" t="inlineStr">
        <is>
          <t>CC-00383</t>
        </is>
      </c>
      <c r="B384" s="99" t="inlineStr">
        <is>
          <t>EVT-2025-035</t>
        </is>
      </c>
      <c r="C384" s="100" t="inlineStr">
        <is>
          <t>Cordavex Webinar Amsterdam Sep 2025</t>
        </is>
      </c>
      <c r="D384" s="100" t="inlineStr">
        <is>
          <t>Cardiology</t>
        </is>
      </c>
      <c r="E384" s="100" t="inlineStr">
        <is>
          <t>BU Cardiovascular</t>
        </is>
      </c>
      <c r="F384" s="99" t="inlineStr">
        <is>
          <t>Translation</t>
        </is>
      </c>
      <c r="G384" s="99" t="inlineStr">
        <is>
          <t>Sep-2025</t>
        </is>
      </c>
      <c r="H384" s="99" t="inlineStr">
        <is>
          <t>Q3 2025</t>
        </is>
      </c>
      <c r="I384" s="101" t="n">
        <v>13020.8</v>
      </c>
      <c r="J384" s="101" t="n">
        <v>8751.219999999999</v>
      </c>
      <c r="K384" s="101" t="n">
        <v>0</v>
      </c>
      <c r="L384" s="102" t="n">
        <v>4269.58</v>
      </c>
      <c r="M384" s="103" t="n">
        <v>0.3279</v>
      </c>
      <c r="N384" s="104" t="n">
        <v>0.6720954165642664</v>
      </c>
      <c r="O384" s="105" t="inlineStr">
        <is>
          <t>Under</t>
        </is>
      </c>
      <c r="P384" s="69" t="inlineStr">
        <is>
          <t>On Track</t>
        </is>
      </c>
    </row>
    <row r="385" ht="16" customHeight="1">
      <c r="A385" s="106" t="inlineStr">
        <is>
          <t>CC-00384</t>
        </is>
      </c>
      <c r="B385" s="71" t="inlineStr">
        <is>
          <t>EVT-2025-035</t>
        </is>
      </c>
      <c r="C385" s="70" t="inlineStr">
        <is>
          <t>Cordavex Webinar Amsterdam Sep 2025</t>
        </is>
      </c>
      <c r="D385" s="70" t="inlineStr">
        <is>
          <t>Cardiology</t>
        </is>
      </c>
      <c r="E385" s="70" t="inlineStr">
        <is>
          <t>BU Cardiovascular</t>
        </is>
      </c>
      <c r="F385" s="71" t="inlineStr">
        <is>
          <t>Print &amp; Production</t>
        </is>
      </c>
      <c r="G385" s="71" t="inlineStr">
        <is>
          <t>Sep-2025</t>
        </is>
      </c>
      <c r="H385" s="71" t="inlineStr">
        <is>
          <t>Q3 2025</t>
        </is>
      </c>
      <c r="I385" s="73" t="n">
        <v>8680.530000000001</v>
      </c>
      <c r="J385" s="73" t="n">
        <v>8770.33</v>
      </c>
      <c r="K385" s="73" t="n">
        <v>0</v>
      </c>
      <c r="L385" s="74" t="n">
        <v>-89.8</v>
      </c>
      <c r="M385" s="78" t="n">
        <v>-0.0103</v>
      </c>
      <c r="N385" s="107" t="n">
        <v>1.010344990455652</v>
      </c>
      <c r="O385" s="112" t="inlineStr">
        <is>
          <t>Over</t>
        </is>
      </c>
      <c r="P385" s="69" t="inlineStr">
        <is>
          <t>On Track</t>
        </is>
      </c>
    </row>
    <row r="386" ht="16" customHeight="1">
      <c r="A386" s="98" t="inlineStr">
        <is>
          <t>CC-00385</t>
        </is>
      </c>
      <c r="B386" s="99" t="inlineStr">
        <is>
          <t>EVT-2025-035</t>
        </is>
      </c>
      <c r="C386" s="100" t="inlineStr">
        <is>
          <t>Cordavex Webinar Amsterdam Sep 2025</t>
        </is>
      </c>
      <c r="D386" s="100" t="inlineStr">
        <is>
          <t>Cardiology</t>
        </is>
      </c>
      <c r="E386" s="100" t="inlineStr">
        <is>
          <t>BU Cardiovascular</t>
        </is>
      </c>
      <c r="F386" s="99" t="inlineStr">
        <is>
          <t>Miscellaneous</t>
        </is>
      </c>
      <c r="G386" s="99" t="inlineStr">
        <is>
          <t>Sep-2025</t>
        </is>
      </c>
      <c r="H386" s="99" t="inlineStr">
        <is>
          <t>Q3 2025</t>
        </is>
      </c>
      <c r="I386" s="101" t="n">
        <v>8680.530000000001</v>
      </c>
      <c r="J386" s="101" t="n">
        <v>8771.25</v>
      </c>
      <c r="K386" s="101" t="n">
        <v>0</v>
      </c>
      <c r="L386" s="109" t="n">
        <v>-90.72</v>
      </c>
      <c r="M386" s="103" t="n">
        <v>-0.0105</v>
      </c>
      <c r="N386" s="104" t="n">
        <v>1.01045097476767</v>
      </c>
      <c r="O386" s="111" t="inlineStr">
        <is>
          <t>Over</t>
        </is>
      </c>
      <c r="P386" s="69" t="inlineStr">
        <is>
          <t>On Track</t>
        </is>
      </c>
    </row>
    <row r="387" ht="16" customHeight="1">
      <c r="A387" s="106" t="inlineStr">
        <is>
          <t>CC-00386</t>
        </is>
      </c>
      <c r="B387" s="71" t="inlineStr">
        <is>
          <t>EVT-2025-036</t>
        </is>
      </c>
      <c r="C387" s="70" t="inlineStr">
        <is>
          <t>Bioflair Internal Meeting Milan Aug 2025</t>
        </is>
      </c>
      <c r="D387" s="70" t="inlineStr">
        <is>
          <t>Immunology</t>
        </is>
      </c>
      <c r="E387" s="70" t="inlineStr">
        <is>
          <t>BU Immunology</t>
        </is>
      </c>
      <c r="F387" s="71" t="inlineStr">
        <is>
          <t>Airfare</t>
        </is>
      </c>
      <c r="G387" s="71" t="inlineStr">
        <is>
          <t>Aug-2025</t>
        </is>
      </c>
      <c r="H387" s="71" t="inlineStr">
        <is>
          <t>Q3 2025</t>
        </is>
      </c>
      <c r="I387" s="73" t="n">
        <v>25064.12</v>
      </c>
      <c r="J387" s="73" t="n">
        <v>26679.19</v>
      </c>
      <c r="K387" s="73" t="n">
        <v>21070.77</v>
      </c>
      <c r="L387" s="74" t="n">
        <v>-1615.07</v>
      </c>
      <c r="M387" s="75" t="n">
        <v>-0.0644</v>
      </c>
      <c r="N387" s="107" t="n">
        <v>1.064437530621462</v>
      </c>
      <c r="O387" s="112" t="inlineStr">
        <is>
          <t>Over</t>
        </is>
      </c>
      <c r="P387" s="76" t="inlineStr">
        <is>
          <t>Watch</t>
        </is>
      </c>
    </row>
    <row r="388" ht="16" customHeight="1">
      <c r="A388" s="98" t="inlineStr">
        <is>
          <t>CC-00387</t>
        </is>
      </c>
      <c r="B388" s="99" t="inlineStr">
        <is>
          <t>EVT-2025-036</t>
        </is>
      </c>
      <c r="C388" s="100" t="inlineStr">
        <is>
          <t>Bioflair Internal Meeting Milan Aug 2025</t>
        </is>
      </c>
      <c r="D388" s="100" t="inlineStr">
        <is>
          <t>Immunology</t>
        </is>
      </c>
      <c r="E388" s="100" t="inlineStr">
        <is>
          <t>BU Immunology</t>
        </is>
      </c>
      <c r="F388" s="99" t="inlineStr">
        <is>
          <t>Hotel</t>
        </is>
      </c>
      <c r="G388" s="99" t="inlineStr">
        <is>
          <t>Aug-2025</t>
        </is>
      </c>
      <c r="H388" s="99" t="inlineStr">
        <is>
          <t>Q3 2025</t>
        </is>
      </c>
      <c r="I388" s="101" t="n">
        <v>45115.42</v>
      </c>
      <c r="J388" s="101" t="n">
        <v>39790.86</v>
      </c>
      <c r="K388" s="101" t="n">
        <v>34618.4</v>
      </c>
      <c r="L388" s="102" t="n">
        <v>5324.56</v>
      </c>
      <c r="M388" s="103" t="n">
        <v>0.118</v>
      </c>
      <c r="N388" s="104" t="n">
        <v>0.8819791547989579</v>
      </c>
      <c r="O388" s="105" t="inlineStr">
        <is>
          <t>Under</t>
        </is>
      </c>
      <c r="P388" s="69" t="inlineStr">
        <is>
          <t>On Track</t>
        </is>
      </c>
    </row>
    <row r="389" ht="16" customHeight="1">
      <c r="A389" s="106" t="inlineStr">
        <is>
          <t>CC-00388</t>
        </is>
      </c>
      <c r="B389" s="71" t="inlineStr">
        <is>
          <t>EVT-2025-036</t>
        </is>
      </c>
      <c r="C389" s="70" t="inlineStr">
        <is>
          <t>Bioflair Internal Meeting Milan Aug 2025</t>
        </is>
      </c>
      <c r="D389" s="70" t="inlineStr">
        <is>
          <t>Immunology</t>
        </is>
      </c>
      <c r="E389" s="70" t="inlineStr">
        <is>
          <t>BU Immunology</t>
        </is>
      </c>
      <c r="F389" s="71" t="inlineStr">
        <is>
          <t>Venue</t>
        </is>
      </c>
      <c r="G389" s="71" t="inlineStr">
        <is>
          <t>Aug-2025</t>
        </is>
      </c>
      <c r="H389" s="71" t="inlineStr">
        <is>
          <t>Q3 2025</t>
        </is>
      </c>
      <c r="I389" s="73" t="n">
        <v>37596.18</v>
      </c>
      <c r="J389" s="73" t="n">
        <v>38525.6</v>
      </c>
      <c r="K389" s="73" t="n">
        <v>34792.87</v>
      </c>
      <c r="L389" s="74" t="n">
        <v>-929.42</v>
      </c>
      <c r="M389" s="78" t="n">
        <v>-0.0247</v>
      </c>
      <c r="N389" s="107" t="n">
        <v>1.024721128582744</v>
      </c>
      <c r="O389" s="112" t="inlineStr">
        <is>
          <t>Over</t>
        </is>
      </c>
      <c r="P389" s="69" t="inlineStr">
        <is>
          <t>On Track</t>
        </is>
      </c>
    </row>
    <row r="390" ht="16" customHeight="1">
      <c r="A390" s="98" t="inlineStr">
        <is>
          <t>CC-00389</t>
        </is>
      </c>
      <c r="B390" s="99" t="inlineStr">
        <is>
          <t>EVT-2025-036</t>
        </is>
      </c>
      <c r="C390" s="100" t="inlineStr">
        <is>
          <t>Bioflair Internal Meeting Milan Aug 2025</t>
        </is>
      </c>
      <c r="D390" s="100" t="inlineStr">
        <is>
          <t>Immunology</t>
        </is>
      </c>
      <c r="E390" s="100" t="inlineStr">
        <is>
          <t>BU Immunology</t>
        </is>
      </c>
      <c r="F390" s="99" t="inlineStr">
        <is>
          <t>F&amp;B</t>
        </is>
      </c>
      <c r="G390" s="99" t="inlineStr">
        <is>
          <t>Aug-2025</t>
        </is>
      </c>
      <c r="H390" s="99" t="inlineStr">
        <is>
          <t>Q3 2025</t>
        </is>
      </c>
      <c r="I390" s="101" t="n">
        <v>30076.95</v>
      </c>
      <c r="J390" s="101" t="n">
        <v>26175.4</v>
      </c>
      <c r="K390" s="101" t="n">
        <v>21336.98</v>
      </c>
      <c r="L390" s="102" t="n">
        <v>3901.55</v>
      </c>
      <c r="M390" s="103" t="n">
        <v>0.1297</v>
      </c>
      <c r="N390" s="104" t="n">
        <v>0.8702810624082562</v>
      </c>
      <c r="O390" s="105" t="inlineStr">
        <is>
          <t>Under</t>
        </is>
      </c>
      <c r="P390" s="69" t="inlineStr">
        <is>
          <t>On Track</t>
        </is>
      </c>
    </row>
    <row r="391" ht="16" customHeight="1">
      <c r="A391" s="106" t="inlineStr">
        <is>
          <t>CC-00390</t>
        </is>
      </c>
      <c r="B391" s="71" t="inlineStr">
        <is>
          <t>EVT-2025-036</t>
        </is>
      </c>
      <c r="C391" s="70" t="inlineStr">
        <is>
          <t>Bioflair Internal Meeting Milan Aug 2025</t>
        </is>
      </c>
      <c r="D391" s="70" t="inlineStr">
        <is>
          <t>Immunology</t>
        </is>
      </c>
      <c r="E391" s="70" t="inlineStr">
        <is>
          <t>BU Immunology</t>
        </is>
      </c>
      <c r="F391" s="71" t="inlineStr">
        <is>
          <t>Logistics</t>
        </is>
      </c>
      <c r="G391" s="71" t="inlineStr">
        <is>
          <t>Aug-2025</t>
        </is>
      </c>
      <c r="H391" s="71" t="inlineStr">
        <is>
          <t>Q3 2025</t>
        </is>
      </c>
      <c r="I391" s="73" t="n">
        <v>15038.47</v>
      </c>
      <c r="J391" s="73" t="n">
        <v>14585.4</v>
      </c>
      <c r="K391" s="73" t="n">
        <v>13668.7</v>
      </c>
      <c r="L391" s="80" t="n">
        <v>453.07</v>
      </c>
      <c r="M391" s="78" t="n">
        <v>0.0301</v>
      </c>
      <c r="N391" s="107" t="n">
        <v>0.9698726000716829</v>
      </c>
      <c r="O391" s="108" t="inlineStr">
        <is>
          <t>Under</t>
        </is>
      </c>
      <c r="P391" s="69" t="inlineStr">
        <is>
          <t>On Track</t>
        </is>
      </c>
    </row>
    <row r="392" ht="16" customHeight="1">
      <c r="A392" s="98" t="inlineStr">
        <is>
          <t>CC-00391</t>
        </is>
      </c>
      <c r="B392" s="99" t="inlineStr">
        <is>
          <t>EVT-2025-036</t>
        </is>
      </c>
      <c r="C392" s="100" t="inlineStr">
        <is>
          <t>Bioflair Internal Meeting Milan Aug 2025</t>
        </is>
      </c>
      <c r="D392" s="100" t="inlineStr">
        <is>
          <t>Immunology</t>
        </is>
      </c>
      <c r="E392" s="100" t="inlineStr">
        <is>
          <t>BU Immunology</t>
        </is>
      </c>
      <c r="F392" s="99" t="inlineStr">
        <is>
          <t>AV &amp; Technology</t>
        </is>
      </c>
      <c r="G392" s="99" t="inlineStr">
        <is>
          <t>Aug-2025</t>
        </is>
      </c>
      <c r="H392" s="99" t="inlineStr">
        <is>
          <t>Q3 2025</t>
        </is>
      </c>
      <c r="I392" s="101" t="n">
        <v>20051.3</v>
      </c>
      <c r="J392" s="101" t="n">
        <v>18941.57</v>
      </c>
      <c r="K392" s="101" t="n">
        <v>13704.76</v>
      </c>
      <c r="L392" s="102" t="n">
        <v>1109.73</v>
      </c>
      <c r="M392" s="103" t="n">
        <v>0.0553</v>
      </c>
      <c r="N392" s="104" t="n">
        <v>0.9446554587483106</v>
      </c>
      <c r="O392" s="105" t="inlineStr">
        <is>
          <t>Under</t>
        </is>
      </c>
      <c r="P392" s="69" t="inlineStr">
        <is>
          <t>On Track</t>
        </is>
      </c>
    </row>
    <row r="393" ht="16" customHeight="1">
      <c r="A393" s="106" t="inlineStr">
        <is>
          <t>CC-00392</t>
        </is>
      </c>
      <c r="B393" s="71" t="inlineStr">
        <is>
          <t>EVT-2025-036</t>
        </is>
      </c>
      <c r="C393" s="70" t="inlineStr">
        <is>
          <t>Bioflair Internal Meeting Milan Aug 2025</t>
        </is>
      </c>
      <c r="D393" s="70" t="inlineStr">
        <is>
          <t>Immunology</t>
        </is>
      </c>
      <c r="E393" s="70" t="inlineStr">
        <is>
          <t>BU Immunology</t>
        </is>
      </c>
      <c r="F393" s="71" t="inlineStr">
        <is>
          <t>Agency Fees</t>
        </is>
      </c>
      <c r="G393" s="71" t="inlineStr">
        <is>
          <t>Aug-2025</t>
        </is>
      </c>
      <c r="H393" s="71" t="inlineStr">
        <is>
          <t>Q3 2025</t>
        </is>
      </c>
      <c r="I393" s="73" t="n">
        <v>35089.77</v>
      </c>
      <c r="J393" s="73" t="n">
        <v>34132.81</v>
      </c>
      <c r="K393" s="73" t="n">
        <v>27434.51</v>
      </c>
      <c r="L393" s="80" t="n">
        <v>956.96</v>
      </c>
      <c r="M393" s="78" t="n">
        <v>0.0273</v>
      </c>
      <c r="N393" s="107" t="n">
        <v>0.9727282338983698</v>
      </c>
      <c r="O393" s="108" t="inlineStr">
        <is>
          <t>Under</t>
        </is>
      </c>
      <c r="P393" s="69" t="inlineStr">
        <is>
          <t>On Track</t>
        </is>
      </c>
    </row>
    <row r="394" ht="16" customHeight="1">
      <c r="A394" s="98" t="inlineStr">
        <is>
          <t>CC-00393</t>
        </is>
      </c>
      <c r="B394" s="99" t="inlineStr">
        <is>
          <t>EVT-2025-036</t>
        </is>
      </c>
      <c r="C394" s="100" t="inlineStr">
        <is>
          <t>Bioflair Internal Meeting Milan Aug 2025</t>
        </is>
      </c>
      <c r="D394" s="100" t="inlineStr">
        <is>
          <t>Immunology</t>
        </is>
      </c>
      <c r="E394" s="100" t="inlineStr">
        <is>
          <t>BU Immunology</t>
        </is>
      </c>
      <c r="F394" s="99" t="inlineStr">
        <is>
          <t>Speaker Fees</t>
        </is>
      </c>
      <c r="G394" s="99" t="inlineStr">
        <is>
          <t>Aug-2025</t>
        </is>
      </c>
      <c r="H394" s="99" t="inlineStr">
        <is>
          <t>Q3 2025</t>
        </is>
      </c>
      <c r="I394" s="101" t="n">
        <v>25064.12</v>
      </c>
      <c r="J394" s="101" t="n">
        <v>16262.68</v>
      </c>
      <c r="K394" s="101" t="n">
        <v>12516.46</v>
      </c>
      <c r="L394" s="102" t="n">
        <v>8801.440000000001</v>
      </c>
      <c r="M394" s="103" t="n">
        <v>0.3512</v>
      </c>
      <c r="N394" s="104" t="n">
        <v>0.6488430473521513</v>
      </c>
      <c r="O394" s="105" t="inlineStr">
        <is>
          <t>Under</t>
        </is>
      </c>
      <c r="P394" s="69" t="inlineStr">
        <is>
          <t>On Track</t>
        </is>
      </c>
    </row>
    <row r="395" ht="16" customHeight="1">
      <c r="A395" s="106" t="inlineStr">
        <is>
          <t>CC-00394</t>
        </is>
      </c>
      <c r="B395" s="71" t="inlineStr">
        <is>
          <t>EVT-2025-036</t>
        </is>
      </c>
      <c r="C395" s="70" t="inlineStr">
        <is>
          <t>Bioflair Internal Meeting Milan Aug 2025</t>
        </is>
      </c>
      <c r="D395" s="70" t="inlineStr">
        <is>
          <t>Immunology</t>
        </is>
      </c>
      <c r="E395" s="70" t="inlineStr">
        <is>
          <t>BU Immunology</t>
        </is>
      </c>
      <c r="F395" s="71" t="inlineStr">
        <is>
          <t>Translation</t>
        </is>
      </c>
      <c r="G395" s="71" t="inlineStr">
        <is>
          <t>Aug-2025</t>
        </is>
      </c>
      <c r="H395" s="71" t="inlineStr">
        <is>
          <t>Q3 2025</t>
        </is>
      </c>
      <c r="I395" s="73" t="n">
        <v>7519.24</v>
      </c>
      <c r="J395" s="73" t="n">
        <v>4797.34</v>
      </c>
      <c r="K395" s="73" t="n">
        <v>4229.1</v>
      </c>
      <c r="L395" s="80" t="n">
        <v>2721.9</v>
      </c>
      <c r="M395" s="78" t="n">
        <v>0.362</v>
      </c>
      <c r="N395" s="107" t="n">
        <v>0.638008628531607</v>
      </c>
      <c r="O395" s="108" t="inlineStr">
        <is>
          <t>Under</t>
        </is>
      </c>
      <c r="P395" s="69" t="inlineStr">
        <is>
          <t>On Track</t>
        </is>
      </c>
    </row>
    <row r="396" ht="16" customHeight="1">
      <c r="A396" s="98" t="inlineStr">
        <is>
          <t>CC-00395</t>
        </is>
      </c>
      <c r="B396" s="99" t="inlineStr">
        <is>
          <t>EVT-2025-036</t>
        </is>
      </c>
      <c r="C396" s="100" t="inlineStr">
        <is>
          <t>Bioflair Internal Meeting Milan Aug 2025</t>
        </is>
      </c>
      <c r="D396" s="100" t="inlineStr">
        <is>
          <t>Immunology</t>
        </is>
      </c>
      <c r="E396" s="100" t="inlineStr">
        <is>
          <t>BU Immunology</t>
        </is>
      </c>
      <c r="F396" s="99" t="inlineStr">
        <is>
          <t>Print &amp; Production</t>
        </is>
      </c>
      <c r="G396" s="99" t="inlineStr">
        <is>
          <t>Aug-2025</t>
        </is>
      </c>
      <c r="H396" s="99" t="inlineStr">
        <is>
          <t>Q3 2025</t>
        </is>
      </c>
      <c r="I396" s="101" t="n">
        <v>5012.82</v>
      </c>
      <c r="J396" s="101" t="n">
        <v>4546.29</v>
      </c>
      <c r="K396" s="101" t="n">
        <v>3994.75</v>
      </c>
      <c r="L396" s="102" t="n">
        <v>466.53</v>
      </c>
      <c r="M396" s="103" t="n">
        <v>0.0931</v>
      </c>
      <c r="N396" s="104" t="n">
        <v>0.9069326247501407</v>
      </c>
      <c r="O396" s="105" t="inlineStr">
        <is>
          <t>Under</t>
        </is>
      </c>
      <c r="P396" s="69" t="inlineStr">
        <is>
          <t>On Track</t>
        </is>
      </c>
    </row>
    <row r="397" ht="16" customHeight="1">
      <c r="A397" s="106" t="inlineStr">
        <is>
          <t>CC-00396</t>
        </is>
      </c>
      <c r="B397" s="71" t="inlineStr">
        <is>
          <t>EVT-2025-036</t>
        </is>
      </c>
      <c r="C397" s="70" t="inlineStr">
        <is>
          <t>Bioflair Internal Meeting Milan Aug 2025</t>
        </is>
      </c>
      <c r="D397" s="70" t="inlineStr">
        <is>
          <t>Immunology</t>
        </is>
      </c>
      <c r="E397" s="70" t="inlineStr">
        <is>
          <t>BU Immunology</t>
        </is>
      </c>
      <c r="F397" s="71" t="inlineStr">
        <is>
          <t>Miscellaneous</t>
        </is>
      </c>
      <c r="G397" s="71" t="inlineStr">
        <is>
          <t>Aug-2025</t>
        </is>
      </c>
      <c r="H397" s="71" t="inlineStr">
        <is>
          <t>Q3 2025</t>
        </is>
      </c>
      <c r="I397" s="73" t="n">
        <v>5012.82</v>
      </c>
      <c r="J397" s="73" t="n">
        <v>5436.2</v>
      </c>
      <c r="K397" s="73" t="n">
        <v>4337.61</v>
      </c>
      <c r="L397" s="74" t="n">
        <v>-423.38</v>
      </c>
      <c r="M397" s="75" t="n">
        <v>-0.08450000000000001</v>
      </c>
      <c r="N397" s="107" t="n">
        <v>1.084459445980506</v>
      </c>
      <c r="O397" s="112" t="inlineStr">
        <is>
          <t>Over</t>
        </is>
      </c>
      <c r="P397" s="76" t="inlineStr">
        <is>
          <t>Watch</t>
        </is>
      </c>
    </row>
    <row r="398" ht="16" customHeight="1">
      <c r="A398" s="98" t="inlineStr">
        <is>
          <t>CC-00397</t>
        </is>
      </c>
      <c r="B398" s="99" t="inlineStr">
        <is>
          <t>EVT-2025-037</t>
        </is>
      </c>
      <c r="C398" s="100" t="inlineStr">
        <is>
          <t>Orphavex Advisory Board Berlin May 2025</t>
        </is>
      </c>
      <c r="D398" s="100" t="inlineStr">
        <is>
          <t>Rare Diseases</t>
        </is>
      </c>
      <c r="E398" s="100" t="inlineStr">
        <is>
          <t>BU Rare Diseases</t>
        </is>
      </c>
      <c r="F398" s="99" t="inlineStr">
        <is>
          <t>Airfare</t>
        </is>
      </c>
      <c r="G398" s="99" t="inlineStr">
        <is>
          <t>May-2025</t>
        </is>
      </c>
      <c r="H398" s="99" t="inlineStr">
        <is>
          <t>Q2 2025</t>
        </is>
      </c>
      <c r="I398" s="101" t="n">
        <v>29348.88</v>
      </c>
      <c r="J398" s="101" t="n">
        <v>26914.73</v>
      </c>
      <c r="K398" s="101" t="n">
        <v>0</v>
      </c>
      <c r="L398" s="102" t="n">
        <v>2434.15</v>
      </c>
      <c r="M398" s="103" t="n">
        <v>0.0829</v>
      </c>
      <c r="N398" s="104" t="n">
        <v>0.9170615710037316</v>
      </c>
      <c r="O398" s="105" t="inlineStr">
        <is>
          <t>Under</t>
        </is>
      </c>
      <c r="P398" s="69" t="inlineStr">
        <is>
          <t>On Track</t>
        </is>
      </c>
    </row>
    <row r="399" ht="16" customHeight="1">
      <c r="A399" s="106" t="inlineStr">
        <is>
          <t>CC-00398</t>
        </is>
      </c>
      <c r="B399" s="71" t="inlineStr">
        <is>
          <t>EVT-2025-037</t>
        </is>
      </c>
      <c r="C399" s="70" t="inlineStr">
        <is>
          <t>Orphavex Advisory Board Berlin May 2025</t>
        </is>
      </c>
      <c r="D399" s="70" t="inlineStr">
        <is>
          <t>Rare Diseases</t>
        </is>
      </c>
      <c r="E399" s="70" t="inlineStr">
        <is>
          <t>BU Rare Diseases</t>
        </is>
      </c>
      <c r="F399" s="71" t="inlineStr">
        <is>
          <t>Hotel</t>
        </is>
      </c>
      <c r="G399" s="71" t="inlineStr">
        <is>
          <t>May-2025</t>
        </is>
      </c>
      <c r="H399" s="71" t="inlineStr">
        <is>
          <t>Q2 2025</t>
        </is>
      </c>
      <c r="I399" s="73" t="n">
        <v>52827.98</v>
      </c>
      <c r="J399" s="73" t="n">
        <v>52393.42</v>
      </c>
      <c r="K399" s="73" t="n">
        <v>0</v>
      </c>
      <c r="L399" s="80" t="n">
        <v>434.56</v>
      </c>
      <c r="M399" s="78" t="n">
        <v>0.008200000000000001</v>
      </c>
      <c r="N399" s="107" t="n">
        <v>0.991774056096788</v>
      </c>
      <c r="O399" s="108" t="inlineStr">
        <is>
          <t>Under</t>
        </is>
      </c>
      <c r="P399" s="69" t="inlineStr">
        <is>
          <t>On Track</t>
        </is>
      </c>
    </row>
    <row r="400" ht="16" customHeight="1">
      <c r="A400" s="98" t="inlineStr">
        <is>
          <t>CC-00399</t>
        </is>
      </c>
      <c r="B400" s="99" t="inlineStr">
        <is>
          <t>EVT-2025-037</t>
        </is>
      </c>
      <c r="C400" s="100" t="inlineStr">
        <is>
          <t>Orphavex Advisory Board Berlin May 2025</t>
        </is>
      </c>
      <c r="D400" s="100" t="inlineStr">
        <is>
          <t>Rare Diseases</t>
        </is>
      </c>
      <c r="E400" s="100" t="inlineStr">
        <is>
          <t>BU Rare Diseases</t>
        </is>
      </c>
      <c r="F400" s="99" t="inlineStr">
        <is>
          <t>Venue</t>
        </is>
      </c>
      <c r="G400" s="99" t="inlineStr">
        <is>
          <t>May-2025</t>
        </is>
      </c>
      <c r="H400" s="99" t="inlineStr">
        <is>
          <t>Q2 2025</t>
        </is>
      </c>
      <c r="I400" s="101" t="n">
        <v>44023.32</v>
      </c>
      <c r="J400" s="101" t="n">
        <v>36331.35</v>
      </c>
      <c r="K400" s="101" t="n">
        <v>0</v>
      </c>
      <c r="L400" s="102" t="n">
        <v>7691.97</v>
      </c>
      <c r="M400" s="103" t="n">
        <v>0.1747</v>
      </c>
      <c r="N400" s="104" t="n">
        <v>0.8252751041947768</v>
      </c>
      <c r="O400" s="105" t="inlineStr">
        <is>
          <t>Under</t>
        </is>
      </c>
      <c r="P400" s="69" t="inlineStr">
        <is>
          <t>On Track</t>
        </is>
      </c>
    </row>
    <row r="401" ht="16" customHeight="1">
      <c r="A401" s="106" t="inlineStr">
        <is>
          <t>CC-00400</t>
        </is>
      </c>
      <c r="B401" s="71" t="inlineStr">
        <is>
          <t>EVT-2025-037</t>
        </is>
      </c>
      <c r="C401" s="70" t="inlineStr">
        <is>
          <t>Orphavex Advisory Board Berlin May 2025</t>
        </is>
      </c>
      <c r="D401" s="70" t="inlineStr">
        <is>
          <t>Rare Diseases</t>
        </is>
      </c>
      <c r="E401" s="70" t="inlineStr">
        <is>
          <t>BU Rare Diseases</t>
        </is>
      </c>
      <c r="F401" s="71" t="inlineStr">
        <is>
          <t>F&amp;B</t>
        </is>
      </c>
      <c r="G401" s="71" t="inlineStr">
        <is>
          <t>May-2025</t>
        </is>
      </c>
      <c r="H401" s="71" t="inlineStr">
        <is>
          <t>Q2 2025</t>
        </is>
      </c>
      <c r="I401" s="73" t="n">
        <v>35218.65</v>
      </c>
      <c r="J401" s="73" t="n">
        <v>25148.55</v>
      </c>
      <c r="K401" s="73" t="n">
        <v>0</v>
      </c>
      <c r="L401" s="80" t="n">
        <v>10070.1</v>
      </c>
      <c r="M401" s="78" t="n">
        <v>0.2859</v>
      </c>
      <c r="N401" s="107" t="n">
        <v>0.7140691082707599</v>
      </c>
      <c r="O401" s="108" t="inlineStr">
        <is>
          <t>Under</t>
        </is>
      </c>
      <c r="P401" s="69" t="inlineStr">
        <is>
          <t>On Track</t>
        </is>
      </c>
    </row>
    <row r="402" ht="16" customHeight="1">
      <c r="A402" s="98" t="inlineStr">
        <is>
          <t>CC-00401</t>
        </is>
      </c>
      <c r="B402" s="99" t="inlineStr">
        <is>
          <t>EVT-2025-037</t>
        </is>
      </c>
      <c r="C402" s="100" t="inlineStr">
        <is>
          <t>Orphavex Advisory Board Berlin May 2025</t>
        </is>
      </c>
      <c r="D402" s="100" t="inlineStr">
        <is>
          <t>Rare Diseases</t>
        </is>
      </c>
      <c r="E402" s="100" t="inlineStr">
        <is>
          <t>BU Rare Diseases</t>
        </is>
      </c>
      <c r="F402" s="99" t="inlineStr">
        <is>
          <t>Logistics</t>
        </is>
      </c>
      <c r="G402" s="99" t="inlineStr">
        <is>
          <t>May-2025</t>
        </is>
      </c>
      <c r="H402" s="99" t="inlineStr">
        <is>
          <t>Q2 2025</t>
        </is>
      </c>
      <c r="I402" s="101" t="n">
        <v>17609.33</v>
      </c>
      <c r="J402" s="101" t="n">
        <v>15434.91</v>
      </c>
      <c r="K402" s="101" t="n">
        <v>0</v>
      </c>
      <c r="L402" s="102" t="n">
        <v>2174.42</v>
      </c>
      <c r="M402" s="103" t="n">
        <v>0.1235</v>
      </c>
      <c r="N402" s="104" t="n">
        <v>0.8765188681227507</v>
      </c>
      <c r="O402" s="105" t="inlineStr">
        <is>
          <t>Under</t>
        </is>
      </c>
      <c r="P402" s="69" t="inlineStr">
        <is>
          <t>On Track</t>
        </is>
      </c>
    </row>
    <row r="403" ht="16" customHeight="1">
      <c r="A403" s="106" t="inlineStr">
        <is>
          <t>CC-00402</t>
        </is>
      </c>
      <c r="B403" s="71" t="inlineStr">
        <is>
          <t>EVT-2025-037</t>
        </is>
      </c>
      <c r="C403" s="70" t="inlineStr">
        <is>
          <t>Orphavex Advisory Board Berlin May 2025</t>
        </is>
      </c>
      <c r="D403" s="70" t="inlineStr">
        <is>
          <t>Rare Diseases</t>
        </is>
      </c>
      <c r="E403" s="70" t="inlineStr">
        <is>
          <t>BU Rare Diseases</t>
        </is>
      </c>
      <c r="F403" s="71" t="inlineStr">
        <is>
          <t>AV &amp; Technology</t>
        </is>
      </c>
      <c r="G403" s="71" t="inlineStr">
        <is>
          <t>May-2025</t>
        </is>
      </c>
      <c r="H403" s="71" t="inlineStr">
        <is>
          <t>Q2 2025</t>
        </is>
      </c>
      <c r="I403" s="73" t="n">
        <v>23479.1</v>
      </c>
      <c r="J403" s="73" t="n">
        <v>18494.8</v>
      </c>
      <c r="K403" s="73" t="n">
        <v>0</v>
      </c>
      <c r="L403" s="80" t="n">
        <v>4984.3</v>
      </c>
      <c r="M403" s="78" t="n">
        <v>0.2123</v>
      </c>
      <c r="N403" s="107" t="n">
        <v>0.7877133280236466</v>
      </c>
      <c r="O403" s="108" t="inlineStr">
        <is>
          <t>Under</t>
        </is>
      </c>
      <c r="P403" s="69" t="inlineStr">
        <is>
          <t>On Track</t>
        </is>
      </c>
    </row>
    <row r="404" ht="16" customHeight="1">
      <c r="A404" s="98" t="inlineStr">
        <is>
          <t>CC-00403</t>
        </is>
      </c>
      <c r="B404" s="99" t="inlineStr">
        <is>
          <t>EVT-2025-037</t>
        </is>
      </c>
      <c r="C404" s="100" t="inlineStr">
        <is>
          <t>Orphavex Advisory Board Berlin May 2025</t>
        </is>
      </c>
      <c r="D404" s="100" t="inlineStr">
        <is>
          <t>Rare Diseases</t>
        </is>
      </c>
      <c r="E404" s="100" t="inlineStr">
        <is>
          <t>BU Rare Diseases</t>
        </is>
      </c>
      <c r="F404" s="99" t="inlineStr">
        <is>
          <t>Agency Fees</t>
        </is>
      </c>
      <c r="G404" s="99" t="inlineStr">
        <is>
          <t>May-2025</t>
        </is>
      </c>
      <c r="H404" s="99" t="inlineStr">
        <is>
          <t>Q2 2025</t>
        </is>
      </c>
      <c r="I404" s="101" t="n">
        <v>41088.43</v>
      </c>
      <c r="J404" s="101" t="n">
        <v>28468.9</v>
      </c>
      <c r="K404" s="101" t="n">
        <v>0</v>
      </c>
      <c r="L404" s="102" t="n">
        <v>12619.53</v>
      </c>
      <c r="M404" s="103" t="n">
        <v>0.3071</v>
      </c>
      <c r="N404" s="104" t="n">
        <v>0.6928690144646559</v>
      </c>
      <c r="O404" s="105" t="inlineStr">
        <is>
          <t>Under</t>
        </is>
      </c>
      <c r="P404" s="69" t="inlineStr">
        <is>
          <t>On Track</t>
        </is>
      </c>
    </row>
    <row r="405" ht="16" customHeight="1">
      <c r="A405" s="106" t="inlineStr">
        <is>
          <t>CC-00404</t>
        </is>
      </c>
      <c r="B405" s="71" t="inlineStr">
        <is>
          <t>EVT-2025-037</t>
        </is>
      </c>
      <c r="C405" s="70" t="inlineStr">
        <is>
          <t>Orphavex Advisory Board Berlin May 2025</t>
        </is>
      </c>
      <c r="D405" s="70" t="inlineStr">
        <is>
          <t>Rare Diseases</t>
        </is>
      </c>
      <c r="E405" s="70" t="inlineStr">
        <is>
          <t>BU Rare Diseases</t>
        </is>
      </c>
      <c r="F405" s="71" t="inlineStr">
        <is>
          <t>Speaker Fees</t>
        </is>
      </c>
      <c r="G405" s="71" t="inlineStr">
        <is>
          <t>May-2025</t>
        </is>
      </c>
      <c r="H405" s="71" t="inlineStr">
        <is>
          <t>Q2 2025</t>
        </is>
      </c>
      <c r="I405" s="73" t="n">
        <v>29348.88</v>
      </c>
      <c r="J405" s="73" t="n">
        <v>26206.72</v>
      </c>
      <c r="K405" s="73" t="n">
        <v>0</v>
      </c>
      <c r="L405" s="80" t="n">
        <v>3142.16</v>
      </c>
      <c r="M405" s="78" t="n">
        <v>0.1071</v>
      </c>
      <c r="N405" s="107" t="n">
        <v>0.8929376521352774</v>
      </c>
      <c r="O405" s="108" t="inlineStr">
        <is>
          <t>Under</t>
        </is>
      </c>
      <c r="P405" s="69" t="inlineStr">
        <is>
          <t>On Track</t>
        </is>
      </c>
    </row>
    <row r="406" ht="16" customHeight="1">
      <c r="A406" s="98" t="inlineStr">
        <is>
          <t>CC-00405</t>
        </is>
      </c>
      <c r="B406" s="99" t="inlineStr">
        <is>
          <t>EVT-2025-037</t>
        </is>
      </c>
      <c r="C406" s="100" t="inlineStr">
        <is>
          <t>Orphavex Advisory Board Berlin May 2025</t>
        </is>
      </c>
      <c r="D406" s="100" t="inlineStr">
        <is>
          <t>Rare Diseases</t>
        </is>
      </c>
      <c r="E406" s="100" t="inlineStr">
        <is>
          <t>BU Rare Diseases</t>
        </is>
      </c>
      <c r="F406" s="99" t="inlineStr">
        <is>
          <t>Translation</t>
        </is>
      </c>
      <c r="G406" s="99" t="inlineStr">
        <is>
          <t>May-2025</t>
        </is>
      </c>
      <c r="H406" s="99" t="inlineStr">
        <is>
          <t>Q2 2025</t>
        </is>
      </c>
      <c r="I406" s="101" t="n">
        <v>8804.66</v>
      </c>
      <c r="J406" s="101" t="n">
        <v>6956</v>
      </c>
      <c r="K406" s="101" t="n">
        <v>0</v>
      </c>
      <c r="L406" s="102" t="n">
        <v>1848.66</v>
      </c>
      <c r="M406" s="103" t="n">
        <v>0.21</v>
      </c>
      <c r="N406" s="104" t="n">
        <v>0.7900361853836492</v>
      </c>
      <c r="O406" s="105" t="inlineStr">
        <is>
          <t>Under</t>
        </is>
      </c>
      <c r="P406" s="69" t="inlineStr">
        <is>
          <t>On Track</t>
        </is>
      </c>
    </row>
    <row r="407" ht="16" customHeight="1">
      <c r="A407" s="106" t="inlineStr">
        <is>
          <t>CC-00406</t>
        </is>
      </c>
      <c r="B407" s="71" t="inlineStr">
        <is>
          <t>EVT-2025-037</t>
        </is>
      </c>
      <c r="C407" s="70" t="inlineStr">
        <is>
          <t>Orphavex Advisory Board Berlin May 2025</t>
        </is>
      </c>
      <c r="D407" s="70" t="inlineStr">
        <is>
          <t>Rare Diseases</t>
        </is>
      </c>
      <c r="E407" s="70" t="inlineStr">
        <is>
          <t>BU Rare Diseases</t>
        </is>
      </c>
      <c r="F407" s="71" t="inlineStr">
        <is>
          <t>Print &amp; Production</t>
        </is>
      </c>
      <c r="G407" s="71" t="inlineStr">
        <is>
          <t>May-2025</t>
        </is>
      </c>
      <c r="H407" s="71" t="inlineStr">
        <is>
          <t>Q2 2025</t>
        </is>
      </c>
      <c r="I407" s="73" t="n">
        <v>5869.78</v>
      </c>
      <c r="J407" s="73" t="n">
        <v>5788.09</v>
      </c>
      <c r="K407" s="73" t="n">
        <v>0</v>
      </c>
      <c r="L407" s="80" t="n">
        <v>81.69</v>
      </c>
      <c r="M407" s="78" t="n">
        <v>0.0139</v>
      </c>
      <c r="N407" s="107" t="n">
        <v>0.9860829537052497</v>
      </c>
      <c r="O407" s="108" t="inlineStr">
        <is>
          <t>Under</t>
        </is>
      </c>
      <c r="P407" s="69" t="inlineStr">
        <is>
          <t>On Track</t>
        </is>
      </c>
    </row>
    <row r="408" ht="16" customHeight="1">
      <c r="A408" s="98" t="inlineStr">
        <is>
          <t>CC-00407</t>
        </is>
      </c>
      <c r="B408" s="99" t="inlineStr">
        <is>
          <t>EVT-2025-037</t>
        </is>
      </c>
      <c r="C408" s="100" t="inlineStr">
        <is>
          <t>Orphavex Advisory Board Berlin May 2025</t>
        </is>
      </c>
      <c r="D408" s="100" t="inlineStr">
        <is>
          <t>Rare Diseases</t>
        </is>
      </c>
      <c r="E408" s="100" t="inlineStr">
        <is>
          <t>BU Rare Diseases</t>
        </is>
      </c>
      <c r="F408" s="99" t="inlineStr">
        <is>
          <t>Miscellaneous</t>
        </is>
      </c>
      <c r="G408" s="99" t="inlineStr">
        <is>
          <t>May-2025</t>
        </is>
      </c>
      <c r="H408" s="99" t="inlineStr">
        <is>
          <t>Q2 2025</t>
        </is>
      </c>
      <c r="I408" s="101" t="n">
        <v>5869.78</v>
      </c>
      <c r="J408" s="101" t="n">
        <v>4388.77</v>
      </c>
      <c r="K408" s="101" t="n">
        <v>0</v>
      </c>
      <c r="L408" s="102" t="n">
        <v>1481.01</v>
      </c>
      <c r="M408" s="103" t="n">
        <v>0.2523</v>
      </c>
      <c r="N408" s="104" t="n">
        <v>0.7476890104910237</v>
      </c>
      <c r="O408" s="105" t="inlineStr">
        <is>
          <t>Under</t>
        </is>
      </c>
      <c r="P408" s="69" t="inlineStr">
        <is>
          <t>On Track</t>
        </is>
      </c>
    </row>
    <row r="409" ht="16" customHeight="1">
      <c r="A409" s="106" t="inlineStr">
        <is>
          <t>CC-00408</t>
        </is>
      </c>
      <c r="B409" s="71" t="inlineStr">
        <is>
          <t>EVT-2025-038</t>
        </is>
      </c>
      <c r="C409" s="70" t="inlineStr">
        <is>
          <t>Genetrix Satellite Symposium Amsterdam Jun 2025</t>
        </is>
      </c>
      <c r="D409" s="70" t="inlineStr">
        <is>
          <t>Rare Diseases</t>
        </is>
      </c>
      <c r="E409" s="70" t="inlineStr">
        <is>
          <t>BU Rare Diseases</t>
        </is>
      </c>
      <c r="F409" s="71" t="inlineStr">
        <is>
          <t>Airfare</t>
        </is>
      </c>
      <c r="G409" s="71" t="inlineStr">
        <is>
          <t>Jun-2025</t>
        </is>
      </c>
      <c r="H409" s="71" t="inlineStr">
        <is>
          <t>Q2 2025</t>
        </is>
      </c>
      <c r="I409" s="73" t="n">
        <v>25929.9</v>
      </c>
      <c r="J409" s="73" t="n">
        <v>18753.15</v>
      </c>
      <c r="K409" s="73" t="n">
        <v>13540.75</v>
      </c>
      <c r="L409" s="80" t="n">
        <v>7176.75</v>
      </c>
      <c r="M409" s="78" t="n">
        <v>0.2768</v>
      </c>
      <c r="N409" s="107" t="n">
        <v>0.723224925664966</v>
      </c>
      <c r="O409" s="108" t="inlineStr">
        <is>
          <t>Under</t>
        </is>
      </c>
      <c r="P409" s="69" t="inlineStr">
        <is>
          <t>On Track</t>
        </is>
      </c>
    </row>
    <row r="410" ht="16" customHeight="1">
      <c r="A410" s="98" t="inlineStr">
        <is>
          <t>CC-00409</t>
        </is>
      </c>
      <c r="B410" s="99" t="inlineStr">
        <is>
          <t>EVT-2025-038</t>
        </is>
      </c>
      <c r="C410" s="100" t="inlineStr">
        <is>
          <t>Genetrix Satellite Symposium Amsterdam Jun 2025</t>
        </is>
      </c>
      <c r="D410" s="100" t="inlineStr">
        <is>
          <t>Rare Diseases</t>
        </is>
      </c>
      <c r="E410" s="100" t="inlineStr">
        <is>
          <t>BU Rare Diseases</t>
        </is>
      </c>
      <c r="F410" s="99" t="inlineStr">
        <is>
          <t>Hotel</t>
        </is>
      </c>
      <c r="G410" s="99" t="inlineStr">
        <is>
          <t>Jun-2025</t>
        </is>
      </c>
      <c r="H410" s="99" t="inlineStr">
        <is>
          <t>Q2 2025</t>
        </is>
      </c>
      <c r="I410" s="101" t="n">
        <v>46673.82</v>
      </c>
      <c r="J410" s="101" t="n">
        <v>34257.93</v>
      </c>
      <c r="K410" s="101" t="n">
        <v>27885.95</v>
      </c>
      <c r="L410" s="102" t="n">
        <v>12415.89</v>
      </c>
      <c r="M410" s="103" t="n">
        <v>0.266</v>
      </c>
      <c r="N410" s="104" t="n">
        <v>0.7339859904331808</v>
      </c>
      <c r="O410" s="105" t="inlineStr">
        <is>
          <t>Under</t>
        </is>
      </c>
      <c r="P410" s="69" t="inlineStr">
        <is>
          <t>On Track</t>
        </is>
      </c>
    </row>
    <row r="411" ht="16" customHeight="1">
      <c r="A411" s="106" t="inlineStr">
        <is>
          <t>CC-00410</t>
        </is>
      </c>
      <c r="B411" s="71" t="inlineStr">
        <is>
          <t>EVT-2025-038</t>
        </is>
      </c>
      <c r="C411" s="70" t="inlineStr">
        <is>
          <t>Genetrix Satellite Symposium Amsterdam Jun 2025</t>
        </is>
      </c>
      <c r="D411" s="70" t="inlineStr">
        <is>
          <t>Rare Diseases</t>
        </is>
      </c>
      <c r="E411" s="70" t="inlineStr">
        <is>
          <t>BU Rare Diseases</t>
        </is>
      </c>
      <c r="F411" s="71" t="inlineStr">
        <is>
          <t>Venue</t>
        </is>
      </c>
      <c r="G411" s="71" t="inlineStr">
        <is>
          <t>Jun-2025</t>
        </is>
      </c>
      <c r="H411" s="71" t="inlineStr">
        <is>
          <t>Q2 2025</t>
        </is>
      </c>
      <c r="I411" s="73" t="n">
        <v>38894.85</v>
      </c>
      <c r="J411" s="73" t="n">
        <v>38581.56</v>
      </c>
      <c r="K411" s="73" t="n">
        <v>28792.76</v>
      </c>
      <c r="L411" s="80" t="n">
        <v>313.29</v>
      </c>
      <c r="M411" s="78" t="n">
        <v>0.0081</v>
      </c>
      <c r="N411" s="107" t="n">
        <v>0.9919452061134058</v>
      </c>
      <c r="O411" s="108" t="inlineStr">
        <is>
          <t>Under</t>
        </is>
      </c>
      <c r="P411" s="69" t="inlineStr">
        <is>
          <t>On Track</t>
        </is>
      </c>
    </row>
    <row r="412" ht="16" customHeight="1">
      <c r="A412" s="98" t="inlineStr">
        <is>
          <t>CC-00411</t>
        </is>
      </c>
      <c r="B412" s="99" t="inlineStr">
        <is>
          <t>EVT-2025-038</t>
        </is>
      </c>
      <c r="C412" s="100" t="inlineStr">
        <is>
          <t>Genetrix Satellite Symposium Amsterdam Jun 2025</t>
        </is>
      </c>
      <c r="D412" s="100" t="inlineStr">
        <is>
          <t>Rare Diseases</t>
        </is>
      </c>
      <c r="E412" s="100" t="inlineStr">
        <is>
          <t>BU Rare Diseases</t>
        </is>
      </c>
      <c r="F412" s="99" t="inlineStr">
        <is>
          <t>F&amp;B</t>
        </is>
      </c>
      <c r="G412" s="99" t="inlineStr">
        <is>
          <t>Jun-2025</t>
        </is>
      </c>
      <c r="H412" s="99" t="inlineStr">
        <is>
          <t>Q2 2025</t>
        </is>
      </c>
      <c r="I412" s="101" t="n">
        <v>31115.88</v>
      </c>
      <c r="J412" s="101" t="n">
        <v>24731.24</v>
      </c>
      <c r="K412" s="101" t="n">
        <v>19988.04</v>
      </c>
      <c r="L412" s="102" t="n">
        <v>6384.64</v>
      </c>
      <c r="M412" s="103" t="n">
        <v>0.2052</v>
      </c>
      <c r="N412" s="104" t="n">
        <v>0.7948108811320779</v>
      </c>
      <c r="O412" s="105" t="inlineStr">
        <is>
          <t>Under</t>
        </is>
      </c>
      <c r="P412" s="69" t="inlineStr">
        <is>
          <t>On Track</t>
        </is>
      </c>
    </row>
    <row r="413" ht="16" customHeight="1">
      <c r="A413" s="106" t="inlineStr">
        <is>
          <t>CC-00412</t>
        </is>
      </c>
      <c r="B413" s="71" t="inlineStr">
        <is>
          <t>EVT-2025-038</t>
        </is>
      </c>
      <c r="C413" s="70" t="inlineStr">
        <is>
          <t>Genetrix Satellite Symposium Amsterdam Jun 2025</t>
        </is>
      </c>
      <c r="D413" s="70" t="inlineStr">
        <is>
          <t>Rare Diseases</t>
        </is>
      </c>
      <c r="E413" s="70" t="inlineStr">
        <is>
          <t>BU Rare Diseases</t>
        </is>
      </c>
      <c r="F413" s="71" t="inlineStr">
        <is>
          <t>Logistics</t>
        </is>
      </c>
      <c r="G413" s="71" t="inlineStr">
        <is>
          <t>Jun-2025</t>
        </is>
      </c>
      <c r="H413" s="71" t="inlineStr">
        <is>
          <t>Q2 2025</t>
        </is>
      </c>
      <c r="I413" s="73" t="n">
        <v>15557.94</v>
      </c>
      <c r="J413" s="73" t="n">
        <v>10046.7</v>
      </c>
      <c r="K413" s="73" t="n">
        <v>9874.780000000001</v>
      </c>
      <c r="L413" s="80" t="n">
        <v>5511.24</v>
      </c>
      <c r="M413" s="78" t="n">
        <v>0.3542</v>
      </c>
      <c r="N413" s="107" t="n">
        <v>0.6457602998854605</v>
      </c>
      <c r="O413" s="108" t="inlineStr">
        <is>
          <t>Under</t>
        </is>
      </c>
      <c r="P413" s="69" t="inlineStr">
        <is>
          <t>On Track</t>
        </is>
      </c>
    </row>
    <row r="414" ht="16" customHeight="1">
      <c r="A414" s="98" t="inlineStr">
        <is>
          <t>CC-00413</t>
        </is>
      </c>
      <c r="B414" s="99" t="inlineStr">
        <is>
          <t>EVT-2025-038</t>
        </is>
      </c>
      <c r="C414" s="100" t="inlineStr">
        <is>
          <t>Genetrix Satellite Symposium Amsterdam Jun 2025</t>
        </is>
      </c>
      <c r="D414" s="100" t="inlineStr">
        <is>
          <t>Rare Diseases</t>
        </is>
      </c>
      <c r="E414" s="100" t="inlineStr">
        <is>
          <t>BU Rare Diseases</t>
        </is>
      </c>
      <c r="F414" s="99" t="inlineStr">
        <is>
          <t>AV &amp; Technology</t>
        </is>
      </c>
      <c r="G414" s="99" t="inlineStr">
        <is>
          <t>Jun-2025</t>
        </is>
      </c>
      <c r="H414" s="99" t="inlineStr">
        <is>
          <t>Q2 2025</t>
        </is>
      </c>
      <c r="I414" s="101" t="n">
        <v>20743.92</v>
      </c>
      <c r="J414" s="101" t="n">
        <v>17059.13</v>
      </c>
      <c r="K414" s="101" t="n">
        <v>15837.76</v>
      </c>
      <c r="L414" s="102" t="n">
        <v>3684.79</v>
      </c>
      <c r="M414" s="103" t="n">
        <v>0.1776</v>
      </c>
      <c r="N414" s="104" t="n">
        <v>0.8223677106352127</v>
      </c>
      <c r="O414" s="105" t="inlineStr">
        <is>
          <t>Under</t>
        </is>
      </c>
      <c r="P414" s="69" t="inlineStr">
        <is>
          <t>On Track</t>
        </is>
      </c>
    </row>
    <row r="415" ht="16" customHeight="1">
      <c r="A415" s="106" t="inlineStr">
        <is>
          <t>CC-00414</t>
        </is>
      </c>
      <c r="B415" s="71" t="inlineStr">
        <is>
          <t>EVT-2025-038</t>
        </is>
      </c>
      <c r="C415" s="70" t="inlineStr">
        <is>
          <t>Genetrix Satellite Symposium Amsterdam Jun 2025</t>
        </is>
      </c>
      <c r="D415" s="70" t="inlineStr">
        <is>
          <t>Rare Diseases</t>
        </is>
      </c>
      <c r="E415" s="70" t="inlineStr">
        <is>
          <t>BU Rare Diseases</t>
        </is>
      </c>
      <c r="F415" s="71" t="inlineStr">
        <is>
          <t>Agency Fees</t>
        </is>
      </c>
      <c r="G415" s="71" t="inlineStr">
        <is>
          <t>Jun-2025</t>
        </is>
      </c>
      <c r="H415" s="71" t="inlineStr">
        <is>
          <t>Q2 2025</t>
        </is>
      </c>
      <c r="I415" s="73" t="n">
        <v>36301.86</v>
      </c>
      <c r="J415" s="73" t="n">
        <v>23636.71</v>
      </c>
      <c r="K415" s="73" t="n">
        <v>17164.72</v>
      </c>
      <c r="L415" s="80" t="n">
        <v>12665.15</v>
      </c>
      <c r="M415" s="78" t="n">
        <v>0.3489</v>
      </c>
      <c r="N415" s="107" t="n">
        <v>0.6511156728608396</v>
      </c>
      <c r="O415" s="108" t="inlineStr">
        <is>
          <t>Under</t>
        </is>
      </c>
      <c r="P415" s="69" t="inlineStr">
        <is>
          <t>On Track</t>
        </is>
      </c>
    </row>
    <row r="416" ht="16" customHeight="1">
      <c r="A416" s="98" t="inlineStr">
        <is>
          <t>CC-00415</t>
        </is>
      </c>
      <c r="B416" s="99" t="inlineStr">
        <is>
          <t>EVT-2025-038</t>
        </is>
      </c>
      <c r="C416" s="100" t="inlineStr">
        <is>
          <t>Genetrix Satellite Symposium Amsterdam Jun 2025</t>
        </is>
      </c>
      <c r="D416" s="100" t="inlineStr">
        <is>
          <t>Rare Diseases</t>
        </is>
      </c>
      <c r="E416" s="100" t="inlineStr">
        <is>
          <t>BU Rare Diseases</t>
        </is>
      </c>
      <c r="F416" s="99" t="inlineStr">
        <is>
          <t>Speaker Fees</t>
        </is>
      </c>
      <c r="G416" s="99" t="inlineStr">
        <is>
          <t>Jun-2025</t>
        </is>
      </c>
      <c r="H416" s="99" t="inlineStr">
        <is>
          <t>Q2 2025</t>
        </is>
      </c>
      <c r="I416" s="101" t="n">
        <v>25929.9</v>
      </c>
      <c r="J416" s="101" t="n">
        <v>21145.57</v>
      </c>
      <c r="K416" s="101" t="n">
        <v>18335.23</v>
      </c>
      <c r="L416" s="102" t="n">
        <v>4784.33</v>
      </c>
      <c r="M416" s="103" t="n">
        <v>0.1845</v>
      </c>
      <c r="N416" s="104" t="n">
        <v>0.8154898399145387</v>
      </c>
      <c r="O416" s="105" t="inlineStr">
        <is>
          <t>Under</t>
        </is>
      </c>
      <c r="P416" s="69" t="inlineStr">
        <is>
          <t>On Track</t>
        </is>
      </c>
    </row>
    <row r="417" ht="16" customHeight="1">
      <c r="A417" s="106" t="inlineStr">
        <is>
          <t>CC-00416</t>
        </is>
      </c>
      <c r="B417" s="71" t="inlineStr">
        <is>
          <t>EVT-2025-038</t>
        </is>
      </c>
      <c r="C417" s="70" t="inlineStr">
        <is>
          <t>Genetrix Satellite Symposium Amsterdam Jun 2025</t>
        </is>
      </c>
      <c r="D417" s="70" t="inlineStr">
        <is>
          <t>Rare Diseases</t>
        </is>
      </c>
      <c r="E417" s="70" t="inlineStr">
        <is>
          <t>BU Rare Diseases</t>
        </is>
      </c>
      <c r="F417" s="71" t="inlineStr">
        <is>
          <t>Translation</t>
        </is>
      </c>
      <c r="G417" s="71" t="inlineStr">
        <is>
          <t>Jun-2025</t>
        </is>
      </c>
      <c r="H417" s="71" t="inlineStr">
        <is>
          <t>Q2 2025</t>
        </is>
      </c>
      <c r="I417" s="73" t="n">
        <v>7778.97</v>
      </c>
      <c r="J417" s="73" t="n">
        <v>6660.51</v>
      </c>
      <c r="K417" s="73" t="n">
        <v>4868.75</v>
      </c>
      <c r="L417" s="80" t="n">
        <v>1118.46</v>
      </c>
      <c r="M417" s="78" t="n">
        <v>0.1438</v>
      </c>
      <c r="N417" s="107" t="n">
        <v>0.8562200394139584</v>
      </c>
      <c r="O417" s="108" t="inlineStr">
        <is>
          <t>Under</t>
        </is>
      </c>
      <c r="P417" s="69" t="inlineStr">
        <is>
          <t>On Track</t>
        </is>
      </c>
    </row>
    <row r="418" ht="16" customHeight="1">
      <c r="A418" s="98" t="inlineStr">
        <is>
          <t>CC-00417</t>
        </is>
      </c>
      <c r="B418" s="99" t="inlineStr">
        <is>
          <t>EVT-2025-038</t>
        </is>
      </c>
      <c r="C418" s="100" t="inlineStr">
        <is>
          <t>Genetrix Satellite Symposium Amsterdam Jun 2025</t>
        </is>
      </c>
      <c r="D418" s="100" t="inlineStr">
        <is>
          <t>Rare Diseases</t>
        </is>
      </c>
      <c r="E418" s="100" t="inlineStr">
        <is>
          <t>BU Rare Diseases</t>
        </is>
      </c>
      <c r="F418" s="99" t="inlineStr">
        <is>
          <t>Print &amp; Production</t>
        </is>
      </c>
      <c r="G418" s="99" t="inlineStr">
        <is>
          <t>Jun-2025</t>
        </is>
      </c>
      <c r="H418" s="99" t="inlineStr">
        <is>
          <t>Q2 2025</t>
        </is>
      </c>
      <c r="I418" s="101" t="n">
        <v>5185.98</v>
      </c>
      <c r="J418" s="101" t="n">
        <v>3343.97</v>
      </c>
      <c r="K418" s="101" t="n">
        <v>2896.77</v>
      </c>
      <c r="L418" s="102" t="n">
        <v>1842.01</v>
      </c>
      <c r="M418" s="103" t="n">
        <v>0.3552</v>
      </c>
      <c r="N418" s="104" t="n">
        <v>0.6448096598907054</v>
      </c>
      <c r="O418" s="105" t="inlineStr">
        <is>
          <t>Under</t>
        </is>
      </c>
      <c r="P418" s="69" t="inlineStr">
        <is>
          <t>On Track</t>
        </is>
      </c>
    </row>
    <row r="419" ht="16" customHeight="1">
      <c r="A419" s="106" t="inlineStr">
        <is>
          <t>CC-00418</t>
        </is>
      </c>
      <c r="B419" s="71" t="inlineStr">
        <is>
          <t>EVT-2025-038</t>
        </is>
      </c>
      <c r="C419" s="70" t="inlineStr">
        <is>
          <t>Genetrix Satellite Symposium Amsterdam Jun 2025</t>
        </is>
      </c>
      <c r="D419" s="70" t="inlineStr">
        <is>
          <t>Rare Diseases</t>
        </is>
      </c>
      <c r="E419" s="70" t="inlineStr">
        <is>
          <t>BU Rare Diseases</t>
        </is>
      </c>
      <c r="F419" s="71" t="inlineStr">
        <is>
          <t>Miscellaneous</t>
        </is>
      </c>
      <c r="G419" s="71" t="inlineStr">
        <is>
          <t>Jun-2025</t>
        </is>
      </c>
      <c r="H419" s="71" t="inlineStr">
        <is>
          <t>Q2 2025</t>
        </is>
      </c>
      <c r="I419" s="73" t="n">
        <v>5185.98</v>
      </c>
      <c r="J419" s="73" t="n">
        <v>4659.41</v>
      </c>
      <c r="K419" s="73" t="n">
        <v>4358.09</v>
      </c>
      <c r="L419" s="80" t="n">
        <v>526.5700000000001</v>
      </c>
      <c r="M419" s="78" t="n">
        <v>0.1015</v>
      </c>
      <c r="N419" s="107" t="n">
        <v>0.8984627784912399</v>
      </c>
      <c r="O419" s="108" t="inlineStr">
        <is>
          <t>Under</t>
        </is>
      </c>
      <c r="P419" s="69" t="inlineStr">
        <is>
          <t>On Track</t>
        </is>
      </c>
    </row>
    <row r="420" ht="16" customHeight="1">
      <c r="A420" s="98" t="inlineStr">
        <is>
          <t>CC-00419</t>
        </is>
      </c>
      <c r="B420" s="99" t="inlineStr">
        <is>
          <t>EVT-2025-039</t>
        </is>
      </c>
      <c r="C420" s="100" t="inlineStr">
        <is>
          <t>Rarzolene Advisory Board Athens May 2025</t>
        </is>
      </c>
      <c r="D420" s="100" t="inlineStr">
        <is>
          <t>Rare Diseases</t>
        </is>
      </c>
      <c r="E420" s="100" t="inlineStr">
        <is>
          <t>BU Rare Diseases</t>
        </is>
      </c>
      <c r="F420" s="99" t="inlineStr">
        <is>
          <t>Airfare</t>
        </is>
      </c>
      <c r="G420" s="99" t="inlineStr">
        <is>
          <t>May-2025</t>
        </is>
      </c>
      <c r="H420" s="99" t="inlineStr">
        <is>
          <t>Q2 2025</t>
        </is>
      </c>
      <c r="I420" s="101" t="n">
        <v>36109.06</v>
      </c>
      <c r="J420" s="101" t="n">
        <v>37259.46</v>
      </c>
      <c r="K420" s="101" t="n">
        <v>0</v>
      </c>
      <c r="L420" s="109" t="n">
        <v>-1150.4</v>
      </c>
      <c r="M420" s="103" t="n">
        <v>-0.0319</v>
      </c>
      <c r="N420" s="104" t="n">
        <v>1.031859040362723</v>
      </c>
      <c r="O420" s="111" t="inlineStr">
        <is>
          <t>Over</t>
        </is>
      </c>
      <c r="P420" s="69" t="inlineStr">
        <is>
          <t>On Track</t>
        </is>
      </c>
    </row>
    <row r="421" ht="16" customHeight="1">
      <c r="A421" s="106" t="inlineStr">
        <is>
          <t>CC-00420</t>
        </is>
      </c>
      <c r="B421" s="71" t="inlineStr">
        <is>
          <t>EVT-2025-039</t>
        </is>
      </c>
      <c r="C421" s="70" t="inlineStr">
        <is>
          <t>Rarzolene Advisory Board Athens May 2025</t>
        </is>
      </c>
      <c r="D421" s="70" t="inlineStr">
        <is>
          <t>Rare Diseases</t>
        </is>
      </c>
      <c r="E421" s="70" t="inlineStr">
        <is>
          <t>BU Rare Diseases</t>
        </is>
      </c>
      <c r="F421" s="71" t="inlineStr">
        <is>
          <t>Hotel</t>
        </is>
      </c>
      <c r="G421" s="71" t="inlineStr">
        <is>
          <t>May-2025</t>
        </is>
      </c>
      <c r="H421" s="71" t="inlineStr">
        <is>
          <t>Q2 2025</t>
        </is>
      </c>
      <c r="I421" s="73" t="n">
        <v>64996.3</v>
      </c>
      <c r="J421" s="73" t="n">
        <v>39398.83</v>
      </c>
      <c r="K421" s="73" t="n">
        <v>0</v>
      </c>
      <c r="L421" s="80" t="n">
        <v>25597.47</v>
      </c>
      <c r="M421" s="78" t="n">
        <v>0.3938</v>
      </c>
      <c r="N421" s="107" t="n">
        <v>0.606170351235378</v>
      </c>
      <c r="O421" s="108" t="inlineStr">
        <is>
          <t>Under</t>
        </is>
      </c>
      <c r="P421" s="69" t="inlineStr">
        <is>
          <t>On Track</t>
        </is>
      </c>
    </row>
    <row r="422" ht="16" customHeight="1">
      <c r="A422" s="98" t="inlineStr">
        <is>
          <t>CC-00421</t>
        </is>
      </c>
      <c r="B422" s="99" t="inlineStr">
        <is>
          <t>EVT-2025-039</t>
        </is>
      </c>
      <c r="C422" s="100" t="inlineStr">
        <is>
          <t>Rarzolene Advisory Board Athens May 2025</t>
        </is>
      </c>
      <c r="D422" s="100" t="inlineStr">
        <is>
          <t>Rare Diseases</t>
        </is>
      </c>
      <c r="E422" s="100" t="inlineStr">
        <is>
          <t>BU Rare Diseases</t>
        </is>
      </c>
      <c r="F422" s="99" t="inlineStr">
        <is>
          <t>Venue</t>
        </is>
      </c>
      <c r="G422" s="99" t="inlineStr">
        <is>
          <t>May-2025</t>
        </is>
      </c>
      <c r="H422" s="99" t="inlineStr">
        <is>
          <t>Q2 2025</t>
        </is>
      </c>
      <c r="I422" s="101" t="n">
        <v>54163.58</v>
      </c>
      <c r="J422" s="101" t="n">
        <v>43704.87</v>
      </c>
      <c r="K422" s="101" t="n">
        <v>0</v>
      </c>
      <c r="L422" s="102" t="n">
        <v>10458.71</v>
      </c>
      <c r="M422" s="103" t="n">
        <v>0.1931</v>
      </c>
      <c r="N422" s="104" t="n">
        <v>0.806905119639433</v>
      </c>
      <c r="O422" s="105" t="inlineStr">
        <is>
          <t>Under</t>
        </is>
      </c>
      <c r="P422" s="69" t="inlineStr">
        <is>
          <t>On Track</t>
        </is>
      </c>
    </row>
    <row r="423" ht="16" customHeight="1">
      <c r="A423" s="106" t="inlineStr">
        <is>
          <t>CC-00422</t>
        </is>
      </c>
      <c r="B423" s="71" t="inlineStr">
        <is>
          <t>EVT-2025-039</t>
        </is>
      </c>
      <c r="C423" s="70" t="inlineStr">
        <is>
          <t>Rarzolene Advisory Board Athens May 2025</t>
        </is>
      </c>
      <c r="D423" s="70" t="inlineStr">
        <is>
          <t>Rare Diseases</t>
        </is>
      </c>
      <c r="E423" s="70" t="inlineStr">
        <is>
          <t>BU Rare Diseases</t>
        </is>
      </c>
      <c r="F423" s="71" t="inlineStr">
        <is>
          <t>F&amp;B</t>
        </is>
      </c>
      <c r="G423" s="71" t="inlineStr">
        <is>
          <t>May-2025</t>
        </is>
      </c>
      <c r="H423" s="71" t="inlineStr">
        <is>
          <t>Q2 2025</t>
        </is>
      </c>
      <c r="I423" s="73" t="n">
        <v>43330.87</v>
      </c>
      <c r="J423" s="73" t="n">
        <v>42879.56</v>
      </c>
      <c r="K423" s="73" t="n">
        <v>0</v>
      </c>
      <c r="L423" s="80" t="n">
        <v>451.31</v>
      </c>
      <c r="M423" s="78" t="n">
        <v>0.0104</v>
      </c>
      <c r="N423" s="107" t="n">
        <v>0.9895845617685497</v>
      </c>
      <c r="O423" s="108" t="inlineStr">
        <is>
          <t>Under</t>
        </is>
      </c>
      <c r="P423" s="69" t="inlineStr">
        <is>
          <t>On Track</t>
        </is>
      </c>
    </row>
    <row r="424" ht="16" customHeight="1">
      <c r="A424" s="98" t="inlineStr">
        <is>
          <t>CC-00423</t>
        </is>
      </c>
      <c r="B424" s="99" t="inlineStr">
        <is>
          <t>EVT-2025-039</t>
        </is>
      </c>
      <c r="C424" s="100" t="inlineStr">
        <is>
          <t>Rarzolene Advisory Board Athens May 2025</t>
        </is>
      </c>
      <c r="D424" s="100" t="inlineStr">
        <is>
          <t>Rare Diseases</t>
        </is>
      </c>
      <c r="E424" s="100" t="inlineStr">
        <is>
          <t>BU Rare Diseases</t>
        </is>
      </c>
      <c r="F424" s="99" t="inlineStr">
        <is>
          <t>Logistics</t>
        </is>
      </c>
      <c r="G424" s="99" t="inlineStr">
        <is>
          <t>May-2025</t>
        </is>
      </c>
      <c r="H424" s="99" t="inlineStr">
        <is>
          <t>Q2 2025</t>
        </is>
      </c>
      <c r="I424" s="101" t="n">
        <v>21665.43</v>
      </c>
      <c r="J424" s="101" t="n">
        <v>20851.28</v>
      </c>
      <c r="K424" s="101" t="n">
        <v>0</v>
      </c>
      <c r="L424" s="102" t="n">
        <v>814.15</v>
      </c>
      <c r="M424" s="103" t="n">
        <v>0.0376</v>
      </c>
      <c r="N424" s="104" t="n">
        <v>0.9624217013001818</v>
      </c>
      <c r="O424" s="105" t="inlineStr">
        <is>
          <t>Under</t>
        </is>
      </c>
      <c r="P424" s="69" t="inlineStr">
        <is>
          <t>On Track</t>
        </is>
      </c>
    </row>
    <row r="425" ht="16" customHeight="1">
      <c r="A425" s="106" t="inlineStr">
        <is>
          <t>CC-00424</t>
        </is>
      </c>
      <c r="B425" s="71" t="inlineStr">
        <is>
          <t>EVT-2025-039</t>
        </is>
      </c>
      <c r="C425" s="70" t="inlineStr">
        <is>
          <t>Rarzolene Advisory Board Athens May 2025</t>
        </is>
      </c>
      <c r="D425" s="70" t="inlineStr">
        <is>
          <t>Rare Diseases</t>
        </is>
      </c>
      <c r="E425" s="70" t="inlineStr">
        <is>
          <t>BU Rare Diseases</t>
        </is>
      </c>
      <c r="F425" s="71" t="inlineStr">
        <is>
          <t>AV &amp; Technology</t>
        </is>
      </c>
      <c r="G425" s="71" t="inlineStr">
        <is>
          <t>May-2025</t>
        </is>
      </c>
      <c r="H425" s="71" t="inlineStr">
        <is>
          <t>Q2 2025</t>
        </is>
      </c>
      <c r="I425" s="73" t="n">
        <v>28887.24</v>
      </c>
      <c r="J425" s="73" t="n">
        <v>25414.08</v>
      </c>
      <c r="K425" s="73" t="n">
        <v>0</v>
      </c>
      <c r="L425" s="80" t="n">
        <v>3473.16</v>
      </c>
      <c r="M425" s="78" t="n">
        <v>0.1202</v>
      </c>
      <c r="N425" s="107" t="n">
        <v>0.8797683683176378</v>
      </c>
      <c r="O425" s="108" t="inlineStr">
        <is>
          <t>Under</t>
        </is>
      </c>
      <c r="P425" s="69" t="inlineStr">
        <is>
          <t>On Track</t>
        </is>
      </c>
    </row>
    <row r="426" ht="16" customHeight="1">
      <c r="A426" s="98" t="inlineStr">
        <is>
          <t>CC-00425</t>
        </is>
      </c>
      <c r="B426" s="99" t="inlineStr">
        <is>
          <t>EVT-2025-039</t>
        </is>
      </c>
      <c r="C426" s="100" t="inlineStr">
        <is>
          <t>Rarzolene Advisory Board Athens May 2025</t>
        </is>
      </c>
      <c r="D426" s="100" t="inlineStr">
        <is>
          <t>Rare Diseases</t>
        </is>
      </c>
      <c r="E426" s="100" t="inlineStr">
        <is>
          <t>BU Rare Diseases</t>
        </is>
      </c>
      <c r="F426" s="99" t="inlineStr">
        <is>
          <t>Agency Fees</t>
        </is>
      </c>
      <c r="G426" s="99" t="inlineStr">
        <is>
          <t>May-2025</t>
        </is>
      </c>
      <c r="H426" s="99" t="inlineStr">
        <is>
          <t>Q2 2025</t>
        </is>
      </c>
      <c r="I426" s="101" t="n">
        <v>50552.68</v>
      </c>
      <c r="J426" s="101" t="n">
        <v>55424.19</v>
      </c>
      <c r="K426" s="101" t="n">
        <v>0</v>
      </c>
      <c r="L426" s="109" t="n">
        <v>-4871.51</v>
      </c>
      <c r="M426" s="110" t="n">
        <v>-0.0964</v>
      </c>
      <c r="N426" s="104" t="n">
        <v>1.096365019619138</v>
      </c>
      <c r="O426" s="111" t="inlineStr">
        <is>
          <t>Over</t>
        </is>
      </c>
      <c r="P426" s="76" t="inlineStr">
        <is>
          <t>Watch</t>
        </is>
      </c>
    </row>
    <row r="427" ht="16" customHeight="1">
      <c r="A427" s="106" t="inlineStr">
        <is>
          <t>CC-00426</t>
        </is>
      </c>
      <c r="B427" s="71" t="inlineStr">
        <is>
          <t>EVT-2025-039</t>
        </is>
      </c>
      <c r="C427" s="70" t="inlineStr">
        <is>
          <t>Rarzolene Advisory Board Athens May 2025</t>
        </is>
      </c>
      <c r="D427" s="70" t="inlineStr">
        <is>
          <t>Rare Diseases</t>
        </is>
      </c>
      <c r="E427" s="70" t="inlineStr">
        <is>
          <t>BU Rare Diseases</t>
        </is>
      </c>
      <c r="F427" s="71" t="inlineStr">
        <is>
          <t>Speaker Fees</t>
        </is>
      </c>
      <c r="G427" s="71" t="inlineStr">
        <is>
          <t>May-2025</t>
        </is>
      </c>
      <c r="H427" s="71" t="inlineStr">
        <is>
          <t>Q2 2025</t>
        </is>
      </c>
      <c r="I427" s="73" t="n">
        <v>36109.06</v>
      </c>
      <c r="J427" s="73" t="n">
        <v>26048.04</v>
      </c>
      <c r="K427" s="73" t="n">
        <v>0</v>
      </c>
      <c r="L427" s="80" t="n">
        <v>10061.02</v>
      </c>
      <c r="M427" s="78" t="n">
        <v>0.2786</v>
      </c>
      <c r="N427" s="107" t="n">
        <v>0.7213713123520802</v>
      </c>
      <c r="O427" s="108" t="inlineStr">
        <is>
          <t>Under</t>
        </is>
      </c>
      <c r="P427" s="69" t="inlineStr">
        <is>
          <t>On Track</t>
        </is>
      </c>
    </row>
    <row r="428" ht="16" customHeight="1">
      <c r="A428" s="98" t="inlineStr">
        <is>
          <t>CC-00427</t>
        </is>
      </c>
      <c r="B428" s="99" t="inlineStr">
        <is>
          <t>EVT-2025-039</t>
        </is>
      </c>
      <c r="C428" s="100" t="inlineStr">
        <is>
          <t>Rarzolene Advisory Board Athens May 2025</t>
        </is>
      </c>
      <c r="D428" s="100" t="inlineStr">
        <is>
          <t>Rare Diseases</t>
        </is>
      </c>
      <c r="E428" s="100" t="inlineStr">
        <is>
          <t>BU Rare Diseases</t>
        </is>
      </c>
      <c r="F428" s="99" t="inlineStr">
        <is>
          <t>Translation</t>
        </is>
      </c>
      <c r="G428" s="99" t="inlineStr">
        <is>
          <t>May-2025</t>
        </is>
      </c>
      <c r="H428" s="99" t="inlineStr">
        <is>
          <t>Q2 2025</t>
        </is>
      </c>
      <c r="I428" s="101" t="n">
        <v>10832.72</v>
      </c>
      <c r="J428" s="101" t="n">
        <v>9322.120000000001</v>
      </c>
      <c r="K428" s="101" t="n">
        <v>0</v>
      </c>
      <c r="L428" s="102" t="n">
        <v>1510.6</v>
      </c>
      <c r="M428" s="103" t="n">
        <v>0.1394</v>
      </c>
      <c r="N428" s="104" t="n">
        <v>0.8605521051037968</v>
      </c>
      <c r="O428" s="105" t="inlineStr">
        <is>
          <t>Under</t>
        </is>
      </c>
      <c r="P428" s="69" t="inlineStr">
        <is>
          <t>On Track</t>
        </is>
      </c>
    </row>
    <row r="429" ht="16" customHeight="1">
      <c r="A429" s="106" t="inlineStr">
        <is>
          <t>CC-00428</t>
        </is>
      </c>
      <c r="B429" s="71" t="inlineStr">
        <is>
          <t>EVT-2025-039</t>
        </is>
      </c>
      <c r="C429" s="70" t="inlineStr">
        <is>
          <t>Rarzolene Advisory Board Athens May 2025</t>
        </is>
      </c>
      <c r="D429" s="70" t="inlineStr">
        <is>
          <t>Rare Diseases</t>
        </is>
      </c>
      <c r="E429" s="70" t="inlineStr">
        <is>
          <t>BU Rare Diseases</t>
        </is>
      </c>
      <c r="F429" s="71" t="inlineStr">
        <is>
          <t>Print &amp; Production</t>
        </is>
      </c>
      <c r="G429" s="71" t="inlineStr">
        <is>
          <t>May-2025</t>
        </is>
      </c>
      <c r="H429" s="71" t="inlineStr">
        <is>
          <t>Q2 2025</t>
        </is>
      </c>
      <c r="I429" s="73" t="n">
        <v>7221.81</v>
      </c>
      <c r="J429" s="73" t="n">
        <v>6807.7</v>
      </c>
      <c r="K429" s="73" t="n">
        <v>0</v>
      </c>
      <c r="L429" s="80" t="n">
        <v>414.11</v>
      </c>
      <c r="M429" s="78" t="n">
        <v>0.0573</v>
      </c>
      <c r="N429" s="107" t="n">
        <v>0.9426584194267087</v>
      </c>
      <c r="O429" s="108" t="inlineStr">
        <is>
          <t>Under</t>
        </is>
      </c>
      <c r="P429" s="69" t="inlineStr">
        <is>
          <t>On Track</t>
        </is>
      </c>
    </row>
    <row r="430" ht="16" customHeight="1">
      <c r="A430" s="98" t="inlineStr">
        <is>
          <t>CC-00429</t>
        </is>
      </c>
      <c r="B430" s="99" t="inlineStr">
        <is>
          <t>EVT-2025-039</t>
        </is>
      </c>
      <c r="C430" s="100" t="inlineStr">
        <is>
          <t>Rarzolene Advisory Board Athens May 2025</t>
        </is>
      </c>
      <c r="D430" s="100" t="inlineStr">
        <is>
          <t>Rare Diseases</t>
        </is>
      </c>
      <c r="E430" s="100" t="inlineStr">
        <is>
          <t>BU Rare Diseases</t>
        </is>
      </c>
      <c r="F430" s="99" t="inlineStr">
        <is>
          <t>Miscellaneous</t>
        </is>
      </c>
      <c r="G430" s="99" t="inlineStr">
        <is>
          <t>May-2025</t>
        </is>
      </c>
      <c r="H430" s="99" t="inlineStr">
        <is>
          <t>Q2 2025</t>
        </is>
      </c>
      <c r="I430" s="101" t="n">
        <v>7221.81</v>
      </c>
      <c r="J430" s="101" t="n">
        <v>4945.14</v>
      </c>
      <c r="K430" s="101" t="n">
        <v>0</v>
      </c>
      <c r="L430" s="102" t="n">
        <v>2276.67</v>
      </c>
      <c r="M430" s="103" t="n">
        <v>0.3152</v>
      </c>
      <c r="N430" s="104" t="n">
        <v>0.6847507757750481</v>
      </c>
      <c r="O430" s="105" t="inlineStr">
        <is>
          <t>Under</t>
        </is>
      </c>
      <c r="P430" s="69" t="inlineStr">
        <is>
          <t>On Track</t>
        </is>
      </c>
    </row>
    <row r="431" ht="16" customHeight="1">
      <c r="A431" s="106" t="inlineStr">
        <is>
          <t>CC-00430</t>
        </is>
      </c>
      <c r="B431" s="71" t="inlineStr">
        <is>
          <t>EVT-2025-040</t>
        </is>
      </c>
      <c r="C431" s="70" t="inlineStr">
        <is>
          <t>Rarzolene Symposium Istanbul Dec 2025</t>
        </is>
      </c>
      <c r="D431" s="70" t="inlineStr">
        <is>
          <t>Rare Diseases</t>
        </is>
      </c>
      <c r="E431" s="70" t="inlineStr">
        <is>
          <t>BU Rare Diseases</t>
        </is>
      </c>
      <c r="F431" s="71" t="inlineStr">
        <is>
          <t>Airfare</t>
        </is>
      </c>
      <c r="G431" s="71" t="inlineStr">
        <is>
          <t>Dec-2025</t>
        </is>
      </c>
      <c r="H431" s="71" t="inlineStr">
        <is>
          <t>Q4 2025</t>
        </is>
      </c>
      <c r="I431" s="73" t="n">
        <v>5003.08</v>
      </c>
      <c r="J431" s="73" t="n">
        <v>3674.56</v>
      </c>
      <c r="K431" s="73" t="n">
        <v>2868.08</v>
      </c>
      <c r="L431" s="80" t="n">
        <v>1328.52</v>
      </c>
      <c r="M431" s="78" t="n">
        <v>0.2655</v>
      </c>
      <c r="N431" s="107" t="n">
        <v>0.7344595729030917</v>
      </c>
      <c r="O431" s="108" t="inlineStr">
        <is>
          <t>Under</t>
        </is>
      </c>
      <c r="P431" s="69" t="inlineStr">
        <is>
          <t>On Track</t>
        </is>
      </c>
    </row>
    <row r="432" ht="16" customHeight="1">
      <c r="A432" s="98" t="inlineStr">
        <is>
          <t>CC-00431</t>
        </is>
      </c>
      <c r="B432" s="99" t="inlineStr">
        <is>
          <t>EVT-2025-040</t>
        </is>
      </c>
      <c r="C432" s="100" t="inlineStr">
        <is>
          <t>Rarzolene Symposium Istanbul Dec 2025</t>
        </is>
      </c>
      <c r="D432" s="100" t="inlineStr">
        <is>
          <t>Rare Diseases</t>
        </is>
      </c>
      <c r="E432" s="100" t="inlineStr">
        <is>
          <t>BU Rare Diseases</t>
        </is>
      </c>
      <c r="F432" s="99" t="inlineStr">
        <is>
          <t>Hotel</t>
        </is>
      </c>
      <c r="G432" s="99" t="inlineStr">
        <is>
          <t>Dec-2025</t>
        </is>
      </c>
      <c r="H432" s="99" t="inlineStr">
        <is>
          <t>Q4 2025</t>
        </is>
      </c>
      <c r="I432" s="101" t="n">
        <v>9005.540000000001</v>
      </c>
      <c r="J432" s="101" t="n">
        <v>6060.43</v>
      </c>
      <c r="K432" s="101" t="n">
        <v>4546.31</v>
      </c>
      <c r="L432" s="102" t="n">
        <v>2945.11</v>
      </c>
      <c r="M432" s="103" t="n">
        <v>0.327</v>
      </c>
      <c r="N432" s="104" t="n">
        <v>0.6729668626201205</v>
      </c>
      <c r="O432" s="105" t="inlineStr">
        <is>
          <t>Under</t>
        </is>
      </c>
      <c r="P432" s="69" t="inlineStr">
        <is>
          <t>On Track</t>
        </is>
      </c>
    </row>
    <row r="433" ht="16" customHeight="1">
      <c r="A433" s="106" t="inlineStr">
        <is>
          <t>CC-00432</t>
        </is>
      </c>
      <c r="B433" s="71" t="inlineStr">
        <is>
          <t>EVT-2025-040</t>
        </is>
      </c>
      <c r="C433" s="70" t="inlineStr">
        <is>
          <t>Rarzolene Symposium Istanbul Dec 2025</t>
        </is>
      </c>
      <c r="D433" s="70" t="inlineStr">
        <is>
          <t>Rare Diseases</t>
        </is>
      </c>
      <c r="E433" s="70" t="inlineStr">
        <is>
          <t>BU Rare Diseases</t>
        </is>
      </c>
      <c r="F433" s="71" t="inlineStr">
        <is>
          <t>Venue</t>
        </is>
      </c>
      <c r="G433" s="71" t="inlineStr">
        <is>
          <t>Dec-2025</t>
        </is>
      </c>
      <c r="H433" s="71" t="inlineStr">
        <is>
          <t>Q4 2025</t>
        </is>
      </c>
      <c r="I433" s="73" t="n">
        <v>7504.62</v>
      </c>
      <c r="J433" s="73" t="n">
        <v>5538.27</v>
      </c>
      <c r="K433" s="73" t="n">
        <v>4374.82</v>
      </c>
      <c r="L433" s="80" t="n">
        <v>1966.35</v>
      </c>
      <c r="M433" s="78" t="n">
        <v>0.262</v>
      </c>
      <c r="N433" s="107" t="n">
        <v>0.7379814034554715</v>
      </c>
      <c r="O433" s="108" t="inlineStr">
        <is>
          <t>Under</t>
        </is>
      </c>
      <c r="P433" s="69" t="inlineStr">
        <is>
          <t>On Track</t>
        </is>
      </c>
    </row>
    <row r="434" ht="16" customHeight="1">
      <c r="A434" s="98" t="inlineStr">
        <is>
          <t>CC-00433</t>
        </is>
      </c>
      <c r="B434" s="99" t="inlineStr">
        <is>
          <t>EVT-2025-040</t>
        </is>
      </c>
      <c r="C434" s="100" t="inlineStr">
        <is>
          <t>Rarzolene Symposium Istanbul Dec 2025</t>
        </is>
      </c>
      <c r="D434" s="100" t="inlineStr">
        <is>
          <t>Rare Diseases</t>
        </is>
      </c>
      <c r="E434" s="100" t="inlineStr">
        <is>
          <t>BU Rare Diseases</t>
        </is>
      </c>
      <c r="F434" s="99" t="inlineStr">
        <is>
          <t>F&amp;B</t>
        </is>
      </c>
      <c r="G434" s="99" t="inlineStr">
        <is>
          <t>Dec-2025</t>
        </is>
      </c>
      <c r="H434" s="99" t="inlineStr">
        <is>
          <t>Q4 2025</t>
        </is>
      </c>
      <c r="I434" s="101" t="n">
        <v>6003.69</v>
      </c>
      <c r="J434" s="101" t="n">
        <v>5951.66</v>
      </c>
      <c r="K434" s="101" t="n">
        <v>4810.95</v>
      </c>
      <c r="L434" s="102" t="n">
        <v>52.03</v>
      </c>
      <c r="M434" s="103" t="n">
        <v>0.008699999999999999</v>
      </c>
      <c r="N434" s="104" t="n">
        <v>0.9913336631305081</v>
      </c>
      <c r="O434" s="105" t="inlineStr">
        <is>
          <t>Under</t>
        </is>
      </c>
      <c r="P434" s="69" t="inlineStr">
        <is>
          <t>On Track</t>
        </is>
      </c>
    </row>
    <row r="435" ht="16" customHeight="1">
      <c r="A435" s="106" t="inlineStr">
        <is>
          <t>CC-00434</t>
        </is>
      </c>
      <c r="B435" s="71" t="inlineStr">
        <is>
          <t>EVT-2025-040</t>
        </is>
      </c>
      <c r="C435" s="70" t="inlineStr">
        <is>
          <t>Rarzolene Symposium Istanbul Dec 2025</t>
        </is>
      </c>
      <c r="D435" s="70" t="inlineStr">
        <is>
          <t>Rare Diseases</t>
        </is>
      </c>
      <c r="E435" s="70" t="inlineStr">
        <is>
          <t>BU Rare Diseases</t>
        </is>
      </c>
      <c r="F435" s="71" t="inlineStr">
        <is>
          <t>Logistics</t>
        </is>
      </c>
      <c r="G435" s="71" t="inlineStr">
        <is>
          <t>Dec-2025</t>
        </is>
      </c>
      <c r="H435" s="71" t="inlineStr">
        <is>
          <t>Q4 2025</t>
        </is>
      </c>
      <c r="I435" s="73" t="n">
        <v>3001.85</v>
      </c>
      <c r="J435" s="73" t="n">
        <v>3218.32</v>
      </c>
      <c r="K435" s="73" t="n">
        <v>2948.85</v>
      </c>
      <c r="L435" s="74" t="n">
        <v>-216.47</v>
      </c>
      <c r="M435" s="75" t="n">
        <v>-0.0721</v>
      </c>
      <c r="N435" s="107" t="n">
        <v>1.072112197478222</v>
      </c>
      <c r="O435" s="112" t="inlineStr">
        <is>
          <t>Over</t>
        </is>
      </c>
      <c r="P435" s="76" t="inlineStr">
        <is>
          <t>Watch</t>
        </is>
      </c>
    </row>
    <row r="436" ht="16" customHeight="1">
      <c r="A436" s="98" t="inlineStr">
        <is>
          <t>CC-00435</t>
        </is>
      </c>
      <c r="B436" s="99" t="inlineStr">
        <is>
          <t>EVT-2025-040</t>
        </is>
      </c>
      <c r="C436" s="100" t="inlineStr">
        <is>
          <t>Rarzolene Symposium Istanbul Dec 2025</t>
        </is>
      </c>
      <c r="D436" s="100" t="inlineStr">
        <is>
          <t>Rare Diseases</t>
        </is>
      </c>
      <c r="E436" s="100" t="inlineStr">
        <is>
          <t>BU Rare Diseases</t>
        </is>
      </c>
      <c r="F436" s="99" t="inlineStr">
        <is>
          <t>AV &amp; Technology</t>
        </is>
      </c>
      <c r="G436" s="99" t="inlineStr">
        <is>
          <t>Dec-2025</t>
        </is>
      </c>
      <c r="H436" s="99" t="inlineStr">
        <is>
          <t>Q4 2025</t>
        </is>
      </c>
      <c r="I436" s="101" t="n">
        <v>4002.46</v>
      </c>
      <c r="J436" s="101" t="n">
        <v>3393.69</v>
      </c>
      <c r="K436" s="101" t="n">
        <v>3003.42</v>
      </c>
      <c r="L436" s="102" t="n">
        <v>608.77</v>
      </c>
      <c r="M436" s="103" t="n">
        <v>0.1521</v>
      </c>
      <c r="N436" s="104" t="n">
        <v>0.8479010408598712</v>
      </c>
      <c r="O436" s="105" t="inlineStr">
        <is>
          <t>Under</t>
        </is>
      </c>
      <c r="P436" s="69" t="inlineStr">
        <is>
          <t>On Track</t>
        </is>
      </c>
    </row>
    <row r="437" ht="16" customHeight="1">
      <c r="A437" s="106" t="inlineStr">
        <is>
          <t>CC-00436</t>
        </is>
      </c>
      <c r="B437" s="71" t="inlineStr">
        <is>
          <t>EVT-2025-040</t>
        </is>
      </c>
      <c r="C437" s="70" t="inlineStr">
        <is>
          <t>Rarzolene Symposium Istanbul Dec 2025</t>
        </is>
      </c>
      <c r="D437" s="70" t="inlineStr">
        <is>
          <t>Rare Diseases</t>
        </is>
      </c>
      <c r="E437" s="70" t="inlineStr">
        <is>
          <t>BU Rare Diseases</t>
        </is>
      </c>
      <c r="F437" s="71" t="inlineStr">
        <is>
          <t>Agency Fees</t>
        </is>
      </c>
      <c r="G437" s="71" t="inlineStr">
        <is>
          <t>Dec-2025</t>
        </is>
      </c>
      <c r="H437" s="71" t="inlineStr">
        <is>
          <t>Q4 2025</t>
        </is>
      </c>
      <c r="I437" s="73" t="n">
        <v>7004.31</v>
      </c>
      <c r="J437" s="73" t="n">
        <v>5806.09</v>
      </c>
      <c r="K437" s="73" t="n">
        <v>4300.26</v>
      </c>
      <c r="L437" s="80" t="n">
        <v>1198.22</v>
      </c>
      <c r="M437" s="78" t="n">
        <v>0.1711</v>
      </c>
      <c r="N437" s="107" t="n">
        <v>0.8289310438858359</v>
      </c>
      <c r="O437" s="108" t="inlineStr">
        <is>
          <t>Under</t>
        </is>
      </c>
      <c r="P437" s="69" t="inlineStr">
        <is>
          <t>On Track</t>
        </is>
      </c>
    </row>
    <row r="438" ht="16" customHeight="1">
      <c r="A438" s="98" t="inlineStr">
        <is>
          <t>CC-00437</t>
        </is>
      </c>
      <c r="B438" s="99" t="inlineStr">
        <is>
          <t>EVT-2025-040</t>
        </is>
      </c>
      <c r="C438" s="100" t="inlineStr">
        <is>
          <t>Rarzolene Symposium Istanbul Dec 2025</t>
        </is>
      </c>
      <c r="D438" s="100" t="inlineStr">
        <is>
          <t>Rare Diseases</t>
        </is>
      </c>
      <c r="E438" s="100" t="inlineStr">
        <is>
          <t>BU Rare Diseases</t>
        </is>
      </c>
      <c r="F438" s="99" t="inlineStr">
        <is>
          <t>Speaker Fees</t>
        </is>
      </c>
      <c r="G438" s="99" t="inlineStr">
        <is>
          <t>Dec-2025</t>
        </is>
      </c>
      <c r="H438" s="99" t="inlineStr">
        <is>
          <t>Q4 2025</t>
        </is>
      </c>
      <c r="I438" s="101" t="n">
        <v>5003.08</v>
      </c>
      <c r="J438" s="101" t="n">
        <v>3018.78</v>
      </c>
      <c r="K438" s="101" t="n">
        <v>2471.5</v>
      </c>
      <c r="L438" s="102" t="n">
        <v>1984.3</v>
      </c>
      <c r="M438" s="103" t="n">
        <v>0.3966</v>
      </c>
      <c r="N438" s="104" t="n">
        <v>0.6033843152617988</v>
      </c>
      <c r="O438" s="105" t="inlineStr">
        <is>
          <t>Under</t>
        </is>
      </c>
      <c r="P438" s="69" t="inlineStr">
        <is>
          <t>On Track</t>
        </is>
      </c>
    </row>
    <row r="439" ht="16" customHeight="1">
      <c r="A439" s="106" t="inlineStr">
        <is>
          <t>CC-00438</t>
        </is>
      </c>
      <c r="B439" s="71" t="inlineStr">
        <is>
          <t>EVT-2025-040</t>
        </is>
      </c>
      <c r="C439" s="70" t="inlineStr">
        <is>
          <t>Rarzolene Symposium Istanbul Dec 2025</t>
        </is>
      </c>
      <c r="D439" s="70" t="inlineStr">
        <is>
          <t>Rare Diseases</t>
        </is>
      </c>
      <c r="E439" s="70" t="inlineStr">
        <is>
          <t>BU Rare Diseases</t>
        </is>
      </c>
      <c r="F439" s="71" t="inlineStr">
        <is>
          <t>Translation</t>
        </is>
      </c>
      <c r="G439" s="71" t="inlineStr">
        <is>
          <t>Dec-2025</t>
        </is>
      </c>
      <c r="H439" s="71" t="inlineStr">
        <is>
          <t>Q4 2025</t>
        </is>
      </c>
      <c r="I439" s="73" t="n">
        <v>1500.92</v>
      </c>
      <c r="J439" s="73" t="n">
        <v>1532.15</v>
      </c>
      <c r="K439" s="73" t="n">
        <v>1247.12</v>
      </c>
      <c r="L439" s="74" t="n">
        <v>-31.23</v>
      </c>
      <c r="M439" s="78" t="n">
        <v>-0.0208</v>
      </c>
      <c r="N439" s="107" t="n">
        <v>1.020807238227221</v>
      </c>
      <c r="O439" s="112" t="inlineStr">
        <is>
          <t>Over</t>
        </is>
      </c>
      <c r="P439" s="69" t="inlineStr">
        <is>
          <t>On Track</t>
        </is>
      </c>
    </row>
    <row r="440" ht="16" customHeight="1">
      <c r="A440" s="98" t="inlineStr">
        <is>
          <t>CC-00439</t>
        </is>
      </c>
      <c r="B440" s="99" t="inlineStr">
        <is>
          <t>EVT-2025-040</t>
        </is>
      </c>
      <c r="C440" s="100" t="inlineStr">
        <is>
          <t>Rarzolene Symposium Istanbul Dec 2025</t>
        </is>
      </c>
      <c r="D440" s="100" t="inlineStr">
        <is>
          <t>Rare Diseases</t>
        </is>
      </c>
      <c r="E440" s="100" t="inlineStr">
        <is>
          <t>BU Rare Diseases</t>
        </is>
      </c>
      <c r="F440" s="99" t="inlineStr">
        <is>
          <t>Print &amp; Production</t>
        </is>
      </c>
      <c r="G440" s="99" t="inlineStr">
        <is>
          <t>Dec-2025</t>
        </is>
      </c>
      <c r="H440" s="99" t="inlineStr">
        <is>
          <t>Q4 2025</t>
        </is>
      </c>
      <c r="I440" s="101" t="n">
        <v>1000.62</v>
      </c>
      <c r="J440" s="101" t="n">
        <v>1031.74</v>
      </c>
      <c r="K440" s="101" t="n">
        <v>858.48</v>
      </c>
      <c r="L440" s="109" t="n">
        <v>-31.12</v>
      </c>
      <c r="M440" s="103" t="n">
        <v>-0.0311</v>
      </c>
      <c r="N440" s="104" t="n">
        <v>1.031100717555116</v>
      </c>
      <c r="O440" s="111" t="inlineStr">
        <is>
          <t>Over</t>
        </is>
      </c>
      <c r="P440" s="69" t="inlineStr">
        <is>
          <t>On Track</t>
        </is>
      </c>
    </row>
    <row r="441" ht="16" customHeight="1">
      <c r="A441" s="106" t="inlineStr">
        <is>
          <t>CC-00440</t>
        </is>
      </c>
      <c r="B441" s="71" t="inlineStr">
        <is>
          <t>EVT-2025-040</t>
        </is>
      </c>
      <c r="C441" s="70" t="inlineStr">
        <is>
          <t>Rarzolene Symposium Istanbul Dec 2025</t>
        </is>
      </c>
      <c r="D441" s="70" t="inlineStr">
        <is>
          <t>Rare Diseases</t>
        </is>
      </c>
      <c r="E441" s="70" t="inlineStr">
        <is>
          <t>BU Rare Diseases</t>
        </is>
      </c>
      <c r="F441" s="71" t="inlineStr">
        <is>
          <t>Miscellaneous</t>
        </is>
      </c>
      <c r="G441" s="71" t="inlineStr">
        <is>
          <t>Dec-2025</t>
        </is>
      </c>
      <c r="H441" s="71" t="inlineStr">
        <is>
          <t>Q4 2025</t>
        </is>
      </c>
      <c r="I441" s="73" t="n">
        <v>1000.62</v>
      </c>
      <c r="J441" s="73" t="n">
        <v>815.8099999999999</v>
      </c>
      <c r="K441" s="73" t="n">
        <v>772.62</v>
      </c>
      <c r="L441" s="80" t="n">
        <v>184.81</v>
      </c>
      <c r="M441" s="78" t="n">
        <v>0.1847</v>
      </c>
      <c r="N441" s="107" t="n">
        <v>0.815304511203054</v>
      </c>
      <c r="O441" s="108" t="inlineStr">
        <is>
          <t>Under</t>
        </is>
      </c>
      <c r="P441" s="69" t="inlineStr">
        <is>
          <t>On Track</t>
        </is>
      </c>
    </row>
    <row r="442" ht="16" customHeight="1">
      <c r="A442" s="98" t="inlineStr">
        <is>
          <t>CC-00441</t>
        </is>
      </c>
      <c r="B442" s="99" t="inlineStr">
        <is>
          <t>EVT-2025-041</t>
        </is>
      </c>
      <c r="C442" s="100" t="inlineStr">
        <is>
          <t>Cognivex Congress Brussels Oct 2025</t>
        </is>
      </c>
      <c r="D442" s="100" t="inlineStr">
        <is>
          <t>Neurology</t>
        </is>
      </c>
      <c r="E442" s="100" t="inlineStr">
        <is>
          <t>BU Neuroscience</t>
        </is>
      </c>
      <c r="F442" s="99" t="inlineStr">
        <is>
          <t>Airfare</t>
        </is>
      </c>
      <c r="G442" s="99" t="inlineStr">
        <is>
          <t>Oct-2025</t>
        </is>
      </c>
      <c r="H442" s="99" t="inlineStr">
        <is>
          <t>Q4 2025</t>
        </is>
      </c>
      <c r="I442" s="101" t="n">
        <v>3488.46</v>
      </c>
      <c r="J442" s="101" t="n">
        <v>3228.63</v>
      </c>
      <c r="K442" s="101" t="n">
        <v>0</v>
      </c>
      <c r="L442" s="102" t="n">
        <v>259.83</v>
      </c>
      <c r="M442" s="103" t="n">
        <v>0.0745</v>
      </c>
      <c r="N442" s="104" t="n">
        <v>0.9255172769646205</v>
      </c>
      <c r="O442" s="105" t="inlineStr">
        <is>
          <t>Under</t>
        </is>
      </c>
      <c r="P442" s="69" t="inlineStr">
        <is>
          <t>On Track</t>
        </is>
      </c>
    </row>
    <row r="443" ht="16" customHeight="1">
      <c r="A443" s="106" t="inlineStr">
        <is>
          <t>CC-00442</t>
        </is>
      </c>
      <c r="B443" s="71" t="inlineStr">
        <is>
          <t>EVT-2025-041</t>
        </is>
      </c>
      <c r="C443" s="70" t="inlineStr">
        <is>
          <t>Cognivex Congress Brussels Oct 2025</t>
        </is>
      </c>
      <c r="D443" s="70" t="inlineStr">
        <is>
          <t>Neurology</t>
        </is>
      </c>
      <c r="E443" s="70" t="inlineStr">
        <is>
          <t>BU Neuroscience</t>
        </is>
      </c>
      <c r="F443" s="71" t="inlineStr">
        <is>
          <t>Hotel</t>
        </is>
      </c>
      <c r="G443" s="71" t="inlineStr">
        <is>
          <t>Oct-2025</t>
        </is>
      </c>
      <c r="H443" s="71" t="inlineStr">
        <is>
          <t>Q4 2025</t>
        </is>
      </c>
      <c r="I443" s="73" t="n">
        <v>6279.23</v>
      </c>
      <c r="J443" s="73" t="n">
        <v>5633.7</v>
      </c>
      <c r="K443" s="73" t="n">
        <v>0</v>
      </c>
      <c r="L443" s="80" t="n">
        <v>645.53</v>
      </c>
      <c r="M443" s="78" t="n">
        <v>0.1028</v>
      </c>
      <c r="N443" s="107" t="n">
        <v>0.897195993776307</v>
      </c>
      <c r="O443" s="108" t="inlineStr">
        <is>
          <t>Under</t>
        </is>
      </c>
      <c r="P443" s="69" t="inlineStr">
        <is>
          <t>On Track</t>
        </is>
      </c>
    </row>
    <row r="444" ht="16" customHeight="1">
      <c r="A444" s="98" t="inlineStr">
        <is>
          <t>CC-00443</t>
        </is>
      </c>
      <c r="B444" s="99" t="inlineStr">
        <is>
          <t>EVT-2025-041</t>
        </is>
      </c>
      <c r="C444" s="100" t="inlineStr">
        <is>
          <t>Cognivex Congress Brussels Oct 2025</t>
        </is>
      </c>
      <c r="D444" s="100" t="inlineStr">
        <is>
          <t>Neurology</t>
        </is>
      </c>
      <c r="E444" s="100" t="inlineStr">
        <is>
          <t>BU Neuroscience</t>
        </is>
      </c>
      <c r="F444" s="99" t="inlineStr">
        <is>
          <t>Venue</t>
        </is>
      </c>
      <c r="G444" s="99" t="inlineStr">
        <is>
          <t>Oct-2025</t>
        </is>
      </c>
      <c r="H444" s="99" t="inlineStr">
        <is>
          <t>Q4 2025</t>
        </is>
      </c>
      <c r="I444" s="101" t="n">
        <v>5232.69</v>
      </c>
      <c r="J444" s="101" t="n">
        <v>3925.66</v>
      </c>
      <c r="K444" s="101" t="n">
        <v>0</v>
      </c>
      <c r="L444" s="102" t="n">
        <v>1307.03</v>
      </c>
      <c r="M444" s="103" t="n">
        <v>0.2498</v>
      </c>
      <c r="N444" s="104" t="n">
        <v>0.7502183389423032</v>
      </c>
      <c r="O444" s="105" t="inlineStr">
        <is>
          <t>Under</t>
        </is>
      </c>
      <c r="P444" s="69" t="inlineStr">
        <is>
          <t>On Track</t>
        </is>
      </c>
    </row>
    <row r="445" ht="16" customHeight="1">
      <c r="A445" s="106" t="inlineStr">
        <is>
          <t>CC-00444</t>
        </is>
      </c>
      <c r="B445" s="71" t="inlineStr">
        <is>
          <t>EVT-2025-041</t>
        </is>
      </c>
      <c r="C445" s="70" t="inlineStr">
        <is>
          <t>Cognivex Congress Brussels Oct 2025</t>
        </is>
      </c>
      <c r="D445" s="70" t="inlineStr">
        <is>
          <t>Neurology</t>
        </is>
      </c>
      <c r="E445" s="70" t="inlineStr">
        <is>
          <t>BU Neuroscience</t>
        </is>
      </c>
      <c r="F445" s="71" t="inlineStr">
        <is>
          <t>F&amp;B</t>
        </is>
      </c>
      <c r="G445" s="71" t="inlineStr">
        <is>
          <t>Oct-2025</t>
        </is>
      </c>
      <c r="H445" s="71" t="inlineStr">
        <is>
          <t>Q4 2025</t>
        </is>
      </c>
      <c r="I445" s="73" t="n">
        <v>4186.16</v>
      </c>
      <c r="J445" s="73" t="n">
        <v>3774.27</v>
      </c>
      <c r="K445" s="73" t="n">
        <v>0</v>
      </c>
      <c r="L445" s="80" t="n">
        <v>411.89</v>
      </c>
      <c r="M445" s="78" t="n">
        <v>0.0984</v>
      </c>
      <c r="N445" s="107" t="n">
        <v>0.901606723106618</v>
      </c>
      <c r="O445" s="108" t="inlineStr">
        <is>
          <t>Under</t>
        </is>
      </c>
      <c r="P445" s="69" t="inlineStr">
        <is>
          <t>On Track</t>
        </is>
      </c>
    </row>
    <row r="446" ht="16" customHeight="1">
      <c r="A446" s="98" t="inlineStr">
        <is>
          <t>CC-00445</t>
        </is>
      </c>
      <c r="B446" s="99" t="inlineStr">
        <is>
          <t>EVT-2025-041</t>
        </is>
      </c>
      <c r="C446" s="100" t="inlineStr">
        <is>
          <t>Cognivex Congress Brussels Oct 2025</t>
        </is>
      </c>
      <c r="D446" s="100" t="inlineStr">
        <is>
          <t>Neurology</t>
        </is>
      </c>
      <c r="E446" s="100" t="inlineStr">
        <is>
          <t>BU Neuroscience</t>
        </is>
      </c>
      <c r="F446" s="99" t="inlineStr">
        <is>
          <t>Logistics</t>
        </is>
      </c>
      <c r="G446" s="99" t="inlineStr">
        <is>
          <t>Oct-2025</t>
        </is>
      </c>
      <c r="H446" s="99" t="inlineStr">
        <is>
          <t>Q4 2025</t>
        </is>
      </c>
      <c r="I446" s="101" t="n">
        <v>2093.08</v>
      </c>
      <c r="J446" s="101" t="n">
        <v>1983.5</v>
      </c>
      <c r="K446" s="101" t="n">
        <v>0</v>
      </c>
      <c r="L446" s="102" t="n">
        <v>109.58</v>
      </c>
      <c r="M446" s="103" t="n">
        <v>0.0524</v>
      </c>
      <c r="N446" s="104" t="n">
        <v>0.9476465304718406</v>
      </c>
      <c r="O446" s="105" t="inlineStr">
        <is>
          <t>Under</t>
        </is>
      </c>
      <c r="P446" s="69" t="inlineStr">
        <is>
          <t>On Track</t>
        </is>
      </c>
    </row>
    <row r="447" ht="16" customHeight="1">
      <c r="A447" s="106" t="inlineStr">
        <is>
          <t>CC-00446</t>
        </is>
      </c>
      <c r="B447" s="71" t="inlineStr">
        <is>
          <t>EVT-2025-041</t>
        </is>
      </c>
      <c r="C447" s="70" t="inlineStr">
        <is>
          <t>Cognivex Congress Brussels Oct 2025</t>
        </is>
      </c>
      <c r="D447" s="70" t="inlineStr">
        <is>
          <t>Neurology</t>
        </is>
      </c>
      <c r="E447" s="70" t="inlineStr">
        <is>
          <t>BU Neuroscience</t>
        </is>
      </c>
      <c r="F447" s="71" t="inlineStr">
        <is>
          <t>AV &amp; Technology</t>
        </is>
      </c>
      <c r="G447" s="71" t="inlineStr">
        <is>
          <t>Oct-2025</t>
        </is>
      </c>
      <c r="H447" s="71" t="inlineStr">
        <is>
          <t>Q4 2025</t>
        </is>
      </c>
      <c r="I447" s="73" t="n">
        <v>2790.77</v>
      </c>
      <c r="J447" s="73" t="n">
        <v>2342.87</v>
      </c>
      <c r="K447" s="73" t="n">
        <v>0</v>
      </c>
      <c r="L447" s="80" t="n">
        <v>447.9</v>
      </c>
      <c r="M447" s="78" t="n">
        <v>0.1605</v>
      </c>
      <c r="N447" s="107" t="n">
        <v>0.8395066594524092</v>
      </c>
      <c r="O447" s="108" t="inlineStr">
        <is>
          <t>Under</t>
        </is>
      </c>
      <c r="P447" s="69" t="inlineStr">
        <is>
          <t>On Track</t>
        </is>
      </c>
    </row>
    <row r="448" ht="16" customHeight="1">
      <c r="A448" s="98" t="inlineStr">
        <is>
          <t>CC-00447</t>
        </is>
      </c>
      <c r="B448" s="99" t="inlineStr">
        <is>
          <t>EVT-2025-041</t>
        </is>
      </c>
      <c r="C448" s="100" t="inlineStr">
        <is>
          <t>Cognivex Congress Brussels Oct 2025</t>
        </is>
      </c>
      <c r="D448" s="100" t="inlineStr">
        <is>
          <t>Neurology</t>
        </is>
      </c>
      <c r="E448" s="100" t="inlineStr">
        <is>
          <t>BU Neuroscience</t>
        </is>
      </c>
      <c r="F448" s="99" t="inlineStr">
        <is>
          <t>Agency Fees</t>
        </is>
      </c>
      <c r="G448" s="99" t="inlineStr">
        <is>
          <t>Oct-2025</t>
        </is>
      </c>
      <c r="H448" s="99" t="inlineStr">
        <is>
          <t>Q4 2025</t>
        </is>
      </c>
      <c r="I448" s="101" t="n">
        <v>4883.85</v>
      </c>
      <c r="J448" s="101" t="n">
        <v>3364.09</v>
      </c>
      <c r="K448" s="101" t="n">
        <v>0</v>
      </c>
      <c r="L448" s="102" t="n">
        <v>1519.76</v>
      </c>
      <c r="M448" s="103" t="n">
        <v>0.3112</v>
      </c>
      <c r="N448" s="104" t="n">
        <v>0.6888192716811532</v>
      </c>
      <c r="O448" s="105" t="inlineStr">
        <is>
          <t>Under</t>
        </is>
      </c>
      <c r="P448" s="69" t="inlineStr">
        <is>
          <t>On Track</t>
        </is>
      </c>
    </row>
    <row r="449" ht="16" customHeight="1">
      <c r="A449" s="106" t="inlineStr">
        <is>
          <t>CC-00448</t>
        </is>
      </c>
      <c r="B449" s="71" t="inlineStr">
        <is>
          <t>EVT-2025-041</t>
        </is>
      </c>
      <c r="C449" s="70" t="inlineStr">
        <is>
          <t>Cognivex Congress Brussels Oct 2025</t>
        </is>
      </c>
      <c r="D449" s="70" t="inlineStr">
        <is>
          <t>Neurology</t>
        </is>
      </c>
      <c r="E449" s="70" t="inlineStr">
        <is>
          <t>BU Neuroscience</t>
        </is>
      </c>
      <c r="F449" s="71" t="inlineStr">
        <is>
          <t>Speaker Fees</t>
        </is>
      </c>
      <c r="G449" s="71" t="inlineStr">
        <is>
          <t>Oct-2025</t>
        </is>
      </c>
      <c r="H449" s="71" t="inlineStr">
        <is>
          <t>Q4 2025</t>
        </is>
      </c>
      <c r="I449" s="73" t="n">
        <v>3488.46</v>
      </c>
      <c r="J449" s="73" t="n">
        <v>2787.7</v>
      </c>
      <c r="K449" s="73" t="n">
        <v>0</v>
      </c>
      <c r="L449" s="80" t="n">
        <v>700.76</v>
      </c>
      <c r="M449" s="78" t="n">
        <v>0.2009</v>
      </c>
      <c r="N449" s="107" t="n">
        <v>0.7991205288293401</v>
      </c>
      <c r="O449" s="108" t="inlineStr">
        <is>
          <t>Under</t>
        </is>
      </c>
      <c r="P449" s="69" t="inlineStr">
        <is>
          <t>On Track</t>
        </is>
      </c>
    </row>
    <row r="450" ht="16" customHeight="1">
      <c r="A450" s="98" t="inlineStr">
        <is>
          <t>CC-00449</t>
        </is>
      </c>
      <c r="B450" s="99" t="inlineStr">
        <is>
          <t>EVT-2025-041</t>
        </is>
      </c>
      <c r="C450" s="100" t="inlineStr">
        <is>
          <t>Cognivex Congress Brussels Oct 2025</t>
        </is>
      </c>
      <c r="D450" s="100" t="inlineStr">
        <is>
          <t>Neurology</t>
        </is>
      </c>
      <c r="E450" s="100" t="inlineStr">
        <is>
          <t>BU Neuroscience</t>
        </is>
      </c>
      <c r="F450" s="99" t="inlineStr">
        <is>
          <t>Translation</t>
        </is>
      </c>
      <c r="G450" s="99" t="inlineStr">
        <is>
          <t>Oct-2025</t>
        </is>
      </c>
      <c r="H450" s="99" t="inlineStr">
        <is>
          <t>Q4 2025</t>
        </is>
      </c>
      <c r="I450" s="101" t="n">
        <v>1046.54</v>
      </c>
      <c r="J450" s="101" t="n">
        <v>794.92</v>
      </c>
      <c r="K450" s="101" t="n">
        <v>0</v>
      </c>
      <c r="L450" s="102" t="n">
        <v>251.62</v>
      </c>
      <c r="M450" s="103" t="n">
        <v>0.2404</v>
      </c>
      <c r="N450" s="104" t="n">
        <v>0.7595696294456017</v>
      </c>
      <c r="O450" s="105" t="inlineStr">
        <is>
          <t>Under</t>
        </is>
      </c>
      <c r="P450" s="69" t="inlineStr">
        <is>
          <t>On Track</t>
        </is>
      </c>
    </row>
    <row r="451" ht="16" customHeight="1">
      <c r="A451" s="106" t="inlineStr">
        <is>
          <t>CC-00450</t>
        </is>
      </c>
      <c r="B451" s="71" t="inlineStr">
        <is>
          <t>EVT-2025-041</t>
        </is>
      </c>
      <c r="C451" s="70" t="inlineStr">
        <is>
          <t>Cognivex Congress Brussels Oct 2025</t>
        </is>
      </c>
      <c r="D451" s="70" t="inlineStr">
        <is>
          <t>Neurology</t>
        </is>
      </c>
      <c r="E451" s="70" t="inlineStr">
        <is>
          <t>BU Neuroscience</t>
        </is>
      </c>
      <c r="F451" s="71" t="inlineStr">
        <is>
          <t>Print &amp; Production</t>
        </is>
      </c>
      <c r="G451" s="71" t="inlineStr">
        <is>
          <t>Oct-2025</t>
        </is>
      </c>
      <c r="H451" s="71" t="inlineStr">
        <is>
          <t>Q4 2025</t>
        </is>
      </c>
      <c r="I451" s="73" t="n">
        <v>697.6900000000001</v>
      </c>
      <c r="J451" s="73" t="n">
        <v>674.97</v>
      </c>
      <c r="K451" s="73" t="n">
        <v>0</v>
      </c>
      <c r="L451" s="80" t="n">
        <v>22.72</v>
      </c>
      <c r="M451" s="78" t="n">
        <v>0.0326</v>
      </c>
      <c r="N451" s="107" t="n">
        <v>0.9674353939428686</v>
      </c>
      <c r="O451" s="108" t="inlineStr">
        <is>
          <t>Under</t>
        </is>
      </c>
      <c r="P451" s="69" t="inlineStr">
        <is>
          <t>On Track</t>
        </is>
      </c>
    </row>
    <row r="452" ht="16" customHeight="1">
      <c r="A452" s="98" t="inlineStr">
        <is>
          <t>CC-00451</t>
        </is>
      </c>
      <c r="B452" s="99" t="inlineStr">
        <is>
          <t>EVT-2025-041</t>
        </is>
      </c>
      <c r="C452" s="100" t="inlineStr">
        <is>
          <t>Cognivex Congress Brussels Oct 2025</t>
        </is>
      </c>
      <c r="D452" s="100" t="inlineStr">
        <is>
          <t>Neurology</t>
        </is>
      </c>
      <c r="E452" s="100" t="inlineStr">
        <is>
          <t>BU Neuroscience</t>
        </is>
      </c>
      <c r="F452" s="99" t="inlineStr">
        <is>
          <t>Miscellaneous</t>
        </is>
      </c>
      <c r="G452" s="99" t="inlineStr">
        <is>
          <t>Oct-2025</t>
        </is>
      </c>
      <c r="H452" s="99" t="inlineStr">
        <is>
          <t>Q4 2025</t>
        </is>
      </c>
      <c r="I452" s="101" t="n">
        <v>697.6900000000001</v>
      </c>
      <c r="J452" s="101" t="n">
        <v>639.4</v>
      </c>
      <c r="K452" s="101" t="n">
        <v>0</v>
      </c>
      <c r="L452" s="102" t="n">
        <v>58.29</v>
      </c>
      <c r="M452" s="103" t="n">
        <v>0.0835</v>
      </c>
      <c r="N452" s="104" t="n">
        <v>0.9164528658859951</v>
      </c>
      <c r="O452" s="105" t="inlineStr">
        <is>
          <t>Under</t>
        </is>
      </c>
      <c r="P452" s="69" t="inlineStr">
        <is>
          <t>On Track</t>
        </is>
      </c>
    </row>
    <row r="453" ht="16" customHeight="1">
      <c r="A453" s="106" t="inlineStr">
        <is>
          <t>CC-00452</t>
        </is>
      </c>
      <c r="B453" s="71" t="inlineStr">
        <is>
          <t>EVT-2025-042</t>
        </is>
      </c>
      <c r="C453" s="70" t="inlineStr">
        <is>
          <t>Antivex Launch Event Amsterdam Dec 2025</t>
        </is>
      </c>
      <c r="D453" s="70" t="inlineStr">
        <is>
          <t>Infectious Diseases</t>
        </is>
      </c>
      <c r="E453" s="70" t="inlineStr">
        <is>
          <t>BU Infectious Diseases</t>
        </is>
      </c>
      <c r="F453" s="71" t="inlineStr">
        <is>
          <t>Airfare</t>
        </is>
      </c>
      <c r="G453" s="71" t="inlineStr">
        <is>
          <t>Dec-2025</t>
        </is>
      </c>
      <c r="H453" s="71" t="inlineStr">
        <is>
          <t>Q4 2025</t>
        </is>
      </c>
      <c r="I453" s="73" t="n">
        <v>35812.92</v>
      </c>
      <c r="J453" s="73" t="n">
        <v>38816.96</v>
      </c>
      <c r="K453" s="73" t="n">
        <v>36278.03</v>
      </c>
      <c r="L453" s="74" t="n">
        <v>-3004.04</v>
      </c>
      <c r="M453" s="75" t="n">
        <v>-0.0839</v>
      </c>
      <c r="N453" s="107" t="n">
        <v>1.0838814595403</v>
      </c>
      <c r="O453" s="112" t="inlineStr">
        <is>
          <t>Over</t>
        </is>
      </c>
      <c r="P453" s="76" t="inlineStr">
        <is>
          <t>Watch</t>
        </is>
      </c>
    </row>
    <row r="454" ht="16" customHeight="1">
      <c r="A454" s="98" t="inlineStr">
        <is>
          <t>CC-00453</t>
        </is>
      </c>
      <c r="B454" s="99" t="inlineStr">
        <is>
          <t>EVT-2025-042</t>
        </is>
      </c>
      <c r="C454" s="100" t="inlineStr">
        <is>
          <t>Antivex Launch Event Amsterdam Dec 2025</t>
        </is>
      </c>
      <c r="D454" s="100" t="inlineStr">
        <is>
          <t>Infectious Diseases</t>
        </is>
      </c>
      <c r="E454" s="100" t="inlineStr">
        <is>
          <t>BU Infectious Diseases</t>
        </is>
      </c>
      <c r="F454" s="99" t="inlineStr">
        <is>
          <t>Hotel</t>
        </is>
      </c>
      <c r="G454" s="99" t="inlineStr">
        <is>
          <t>Dec-2025</t>
        </is>
      </c>
      <c r="H454" s="99" t="inlineStr">
        <is>
          <t>Q4 2025</t>
        </is>
      </c>
      <c r="I454" s="101" t="n">
        <v>64463.26</v>
      </c>
      <c r="J454" s="101" t="n">
        <v>49181.8</v>
      </c>
      <c r="K454" s="101" t="n">
        <v>38562.96</v>
      </c>
      <c r="L454" s="102" t="n">
        <v>15281.46</v>
      </c>
      <c r="M454" s="103" t="n">
        <v>0.2371</v>
      </c>
      <c r="N454" s="104" t="n">
        <v>0.7629431089895237</v>
      </c>
      <c r="O454" s="105" t="inlineStr">
        <is>
          <t>Under</t>
        </is>
      </c>
      <c r="P454" s="69" t="inlineStr">
        <is>
          <t>On Track</t>
        </is>
      </c>
    </row>
    <row r="455" ht="16" customHeight="1">
      <c r="A455" s="106" t="inlineStr">
        <is>
          <t>CC-00454</t>
        </is>
      </c>
      <c r="B455" s="71" t="inlineStr">
        <is>
          <t>EVT-2025-042</t>
        </is>
      </c>
      <c r="C455" s="70" t="inlineStr">
        <is>
          <t>Antivex Launch Event Amsterdam Dec 2025</t>
        </is>
      </c>
      <c r="D455" s="70" t="inlineStr">
        <is>
          <t>Infectious Diseases</t>
        </is>
      </c>
      <c r="E455" s="70" t="inlineStr">
        <is>
          <t>BU Infectious Diseases</t>
        </is>
      </c>
      <c r="F455" s="71" t="inlineStr">
        <is>
          <t>Venue</t>
        </is>
      </c>
      <c r="G455" s="71" t="inlineStr">
        <is>
          <t>Dec-2025</t>
        </is>
      </c>
      <c r="H455" s="71" t="inlineStr">
        <is>
          <t>Q4 2025</t>
        </is>
      </c>
      <c r="I455" s="73" t="n">
        <v>53719.39</v>
      </c>
      <c r="J455" s="73" t="n">
        <v>53339.77</v>
      </c>
      <c r="K455" s="73" t="n">
        <v>43178.79</v>
      </c>
      <c r="L455" s="80" t="n">
        <v>379.62</v>
      </c>
      <c r="M455" s="78" t="n">
        <v>0.0071</v>
      </c>
      <c r="N455" s="107" t="n">
        <v>0.992933277909522</v>
      </c>
      <c r="O455" s="108" t="inlineStr">
        <is>
          <t>Under</t>
        </is>
      </c>
      <c r="P455" s="69" t="inlineStr">
        <is>
          <t>On Track</t>
        </is>
      </c>
    </row>
    <row r="456" ht="16" customHeight="1">
      <c r="A456" s="98" t="inlineStr">
        <is>
          <t>CC-00455</t>
        </is>
      </c>
      <c r="B456" s="99" t="inlineStr">
        <is>
          <t>EVT-2025-042</t>
        </is>
      </c>
      <c r="C456" s="100" t="inlineStr">
        <is>
          <t>Antivex Launch Event Amsterdam Dec 2025</t>
        </is>
      </c>
      <c r="D456" s="100" t="inlineStr">
        <is>
          <t>Infectious Diseases</t>
        </is>
      </c>
      <c r="E456" s="100" t="inlineStr">
        <is>
          <t>BU Infectious Diseases</t>
        </is>
      </c>
      <c r="F456" s="99" t="inlineStr">
        <is>
          <t>F&amp;B</t>
        </is>
      </c>
      <c r="G456" s="99" t="inlineStr">
        <is>
          <t>Dec-2025</t>
        </is>
      </c>
      <c r="H456" s="99" t="inlineStr">
        <is>
          <t>Q4 2025</t>
        </is>
      </c>
      <c r="I456" s="101" t="n">
        <v>42975.51</v>
      </c>
      <c r="J456" s="101" t="n">
        <v>45813.34</v>
      </c>
      <c r="K456" s="101" t="n">
        <v>34815.39</v>
      </c>
      <c r="L456" s="109" t="n">
        <v>-2837.83</v>
      </c>
      <c r="M456" s="110" t="n">
        <v>-0.066</v>
      </c>
      <c r="N456" s="104" t="n">
        <v>1.066033654981639</v>
      </c>
      <c r="O456" s="111" t="inlineStr">
        <is>
          <t>Over</t>
        </is>
      </c>
      <c r="P456" s="76" t="inlineStr">
        <is>
          <t>Watch</t>
        </is>
      </c>
    </row>
    <row r="457" ht="16" customHeight="1">
      <c r="A457" s="106" t="inlineStr">
        <is>
          <t>CC-00456</t>
        </is>
      </c>
      <c r="B457" s="71" t="inlineStr">
        <is>
          <t>EVT-2025-042</t>
        </is>
      </c>
      <c r="C457" s="70" t="inlineStr">
        <is>
          <t>Antivex Launch Event Amsterdam Dec 2025</t>
        </is>
      </c>
      <c r="D457" s="70" t="inlineStr">
        <is>
          <t>Infectious Diseases</t>
        </is>
      </c>
      <c r="E457" s="70" t="inlineStr">
        <is>
          <t>BU Infectious Diseases</t>
        </is>
      </c>
      <c r="F457" s="71" t="inlineStr">
        <is>
          <t>Logistics</t>
        </is>
      </c>
      <c r="G457" s="71" t="inlineStr">
        <is>
          <t>Dec-2025</t>
        </is>
      </c>
      <c r="H457" s="71" t="inlineStr">
        <is>
          <t>Q4 2025</t>
        </is>
      </c>
      <c r="I457" s="73" t="n">
        <v>21487.75</v>
      </c>
      <c r="J457" s="73" t="n">
        <v>23607.14</v>
      </c>
      <c r="K457" s="73" t="n">
        <v>17799.27</v>
      </c>
      <c r="L457" s="74" t="n">
        <v>-2119.39</v>
      </c>
      <c r="M457" s="75" t="n">
        <v>-0.09859999999999999</v>
      </c>
      <c r="N457" s="107" t="n">
        <v>1.098632476643669</v>
      </c>
      <c r="O457" s="112" t="inlineStr">
        <is>
          <t>Over</t>
        </is>
      </c>
      <c r="P457" s="76" t="inlineStr">
        <is>
          <t>Watch</t>
        </is>
      </c>
    </row>
    <row r="458" ht="16" customHeight="1">
      <c r="A458" s="98" t="inlineStr">
        <is>
          <t>CC-00457</t>
        </is>
      </c>
      <c r="B458" s="99" t="inlineStr">
        <is>
          <t>EVT-2025-042</t>
        </is>
      </c>
      <c r="C458" s="100" t="inlineStr">
        <is>
          <t>Antivex Launch Event Amsterdam Dec 2025</t>
        </is>
      </c>
      <c r="D458" s="100" t="inlineStr">
        <is>
          <t>Infectious Diseases</t>
        </is>
      </c>
      <c r="E458" s="100" t="inlineStr">
        <is>
          <t>BU Infectious Diseases</t>
        </is>
      </c>
      <c r="F458" s="99" t="inlineStr">
        <is>
          <t>AV &amp; Technology</t>
        </is>
      </c>
      <c r="G458" s="99" t="inlineStr">
        <is>
          <t>Dec-2025</t>
        </is>
      </c>
      <c r="H458" s="99" t="inlineStr">
        <is>
          <t>Q4 2025</t>
        </is>
      </c>
      <c r="I458" s="101" t="n">
        <v>28650.34</v>
      </c>
      <c r="J458" s="101" t="n">
        <v>28186.46</v>
      </c>
      <c r="K458" s="101" t="n">
        <v>19958.12</v>
      </c>
      <c r="L458" s="102" t="n">
        <v>463.88</v>
      </c>
      <c r="M458" s="103" t="n">
        <v>0.0162</v>
      </c>
      <c r="N458" s="104" t="n">
        <v>0.9838089181489643</v>
      </c>
      <c r="O458" s="105" t="inlineStr">
        <is>
          <t>Under</t>
        </is>
      </c>
      <c r="P458" s="69" t="inlineStr">
        <is>
          <t>On Track</t>
        </is>
      </c>
    </row>
    <row r="459" ht="16" customHeight="1">
      <c r="A459" s="106" t="inlineStr">
        <is>
          <t>CC-00458</t>
        </is>
      </c>
      <c r="B459" s="71" t="inlineStr">
        <is>
          <t>EVT-2025-042</t>
        </is>
      </c>
      <c r="C459" s="70" t="inlineStr">
        <is>
          <t>Antivex Launch Event Amsterdam Dec 2025</t>
        </is>
      </c>
      <c r="D459" s="70" t="inlineStr">
        <is>
          <t>Infectious Diseases</t>
        </is>
      </c>
      <c r="E459" s="70" t="inlineStr">
        <is>
          <t>BU Infectious Diseases</t>
        </is>
      </c>
      <c r="F459" s="71" t="inlineStr">
        <is>
          <t>Agency Fees</t>
        </is>
      </c>
      <c r="G459" s="71" t="inlineStr">
        <is>
          <t>Dec-2025</t>
        </is>
      </c>
      <c r="H459" s="71" t="inlineStr">
        <is>
          <t>Q4 2025</t>
        </is>
      </c>
      <c r="I459" s="73" t="n">
        <v>50138.09</v>
      </c>
      <c r="J459" s="73" t="n">
        <v>48313.4</v>
      </c>
      <c r="K459" s="73" t="n">
        <v>47486.88</v>
      </c>
      <c r="L459" s="80" t="n">
        <v>1824.69</v>
      </c>
      <c r="M459" s="78" t="n">
        <v>0.0364</v>
      </c>
      <c r="N459" s="107" t="n">
        <v>0.9636067109856</v>
      </c>
      <c r="O459" s="108" t="inlineStr">
        <is>
          <t>Under</t>
        </is>
      </c>
      <c r="P459" s="69" t="inlineStr">
        <is>
          <t>On Track</t>
        </is>
      </c>
    </row>
    <row r="460" ht="16" customHeight="1">
      <c r="A460" s="98" t="inlineStr">
        <is>
          <t>CC-00459</t>
        </is>
      </c>
      <c r="B460" s="99" t="inlineStr">
        <is>
          <t>EVT-2025-042</t>
        </is>
      </c>
      <c r="C460" s="100" t="inlineStr">
        <is>
          <t>Antivex Launch Event Amsterdam Dec 2025</t>
        </is>
      </c>
      <c r="D460" s="100" t="inlineStr">
        <is>
          <t>Infectious Diseases</t>
        </is>
      </c>
      <c r="E460" s="100" t="inlineStr">
        <is>
          <t>BU Infectious Diseases</t>
        </is>
      </c>
      <c r="F460" s="99" t="inlineStr">
        <is>
          <t>Speaker Fees</t>
        </is>
      </c>
      <c r="G460" s="99" t="inlineStr">
        <is>
          <t>Dec-2025</t>
        </is>
      </c>
      <c r="H460" s="99" t="inlineStr">
        <is>
          <t>Q4 2025</t>
        </is>
      </c>
      <c r="I460" s="101" t="n">
        <v>35812.92</v>
      </c>
      <c r="J460" s="101" t="n">
        <v>25241.81</v>
      </c>
      <c r="K460" s="101" t="n">
        <v>23709.77</v>
      </c>
      <c r="L460" s="102" t="n">
        <v>10571.11</v>
      </c>
      <c r="M460" s="103" t="n">
        <v>0.2952</v>
      </c>
      <c r="N460" s="104" t="n">
        <v>0.7048241249247479</v>
      </c>
      <c r="O460" s="105" t="inlineStr">
        <is>
          <t>Under</t>
        </is>
      </c>
      <c r="P460" s="69" t="inlineStr">
        <is>
          <t>On Track</t>
        </is>
      </c>
    </row>
    <row r="461" ht="16" customHeight="1">
      <c r="A461" s="106" t="inlineStr">
        <is>
          <t>CC-00460</t>
        </is>
      </c>
      <c r="B461" s="71" t="inlineStr">
        <is>
          <t>EVT-2025-042</t>
        </is>
      </c>
      <c r="C461" s="70" t="inlineStr">
        <is>
          <t>Antivex Launch Event Amsterdam Dec 2025</t>
        </is>
      </c>
      <c r="D461" s="70" t="inlineStr">
        <is>
          <t>Infectious Diseases</t>
        </is>
      </c>
      <c r="E461" s="70" t="inlineStr">
        <is>
          <t>BU Infectious Diseases</t>
        </is>
      </c>
      <c r="F461" s="71" t="inlineStr">
        <is>
          <t>Translation</t>
        </is>
      </c>
      <c r="G461" s="71" t="inlineStr">
        <is>
          <t>Dec-2025</t>
        </is>
      </c>
      <c r="H461" s="71" t="inlineStr">
        <is>
          <t>Q4 2025</t>
        </is>
      </c>
      <c r="I461" s="73" t="n">
        <v>10743.88</v>
      </c>
      <c r="J461" s="73" t="n">
        <v>10911.92</v>
      </c>
      <c r="K461" s="73" t="n">
        <v>7864.74</v>
      </c>
      <c r="L461" s="74" t="n">
        <v>-168.04</v>
      </c>
      <c r="M461" s="78" t="n">
        <v>-0.0156</v>
      </c>
      <c r="N461" s="107" t="n">
        <v>1.015640532098274</v>
      </c>
      <c r="O461" s="112" t="inlineStr">
        <is>
          <t>Over</t>
        </is>
      </c>
      <c r="P461" s="69" t="inlineStr">
        <is>
          <t>On Track</t>
        </is>
      </c>
    </row>
    <row r="462" ht="16" customHeight="1">
      <c r="A462" s="98" t="inlineStr">
        <is>
          <t>CC-00461</t>
        </is>
      </c>
      <c r="B462" s="99" t="inlineStr">
        <is>
          <t>EVT-2025-042</t>
        </is>
      </c>
      <c r="C462" s="100" t="inlineStr">
        <is>
          <t>Antivex Launch Event Amsterdam Dec 2025</t>
        </is>
      </c>
      <c r="D462" s="100" t="inlineStr">
        <is>
          <t>Infectious Diseases</t>
        </is>
      </c>
      <c r="E462" s="100" t="inlineStr">
        <is>
          <t>BU Infectious Diseases</t>
        </is>
      </c>
      <c r="F462" s="99" t="inlineStr">
        <is>
          <t>Print &amp; Production</t>
        </is>
      </c>
      <c r="G462" s="99" t="inlineStr">
        <is>
          <t>Dec-2025</t>
        </is>
      </c>
      <c r="H462" s="99" t="inlineStr">
        <is>
          <t>Q4 2025</t>
        </is>
      </c>
      <c r="I462" s="101" t="n">
        <v>7162.58</v>
      </c>
      <c r="J462" s="101" t="n">
        <v>7333.72</v>
      </c>
      <c r="K462" s="101" t="n">
        <v>6882.8</v>
      </c>
      <c r="L462" s="109" t="n">
        <v>-171.14</v>
      </c>
      <c r="M462" s="103" t="n">
        <v>-0.0239</v>
      </c>
      <c r="N462" s="104" t="n">
        <v>1.023893624922863</v>
      </c>
      <c r="O462" s="111" t="inlineStr">
        <is>
          <t>Over</t>
        </is>
      </c>
      <c r="P462" s="69" t="inlineStr">
        <is>
          <t>On Track</t>
        </is>
      </c>
    </row>
    <row r="463" ht="16" customHeight="1">
      <c r="A463" s="106" t="inlineStr">
        <is>
          <t>CC-00462</t>
        </is>
      </c>
      <c r="B463" s="71" t="inlineStr">
        <is>
          <t>EVT-2025-042</t>
        </is>
      </c>
      <c r="C463" s="70" t="inlineStr">
        <is>
          <t>Antivex Launch Event Amsterdam Dec 2025</t>
        </is>
      </c>
      <c r="D463" s="70" t="inlineStr">
        <is>
          <t>Infectious Diseases</t>
        </is>
      </c>
      <c r="E463" s="70" t="inlineStr">
        <is>
          <t>BU Infectious Diseases</t>
        </is>
      </c>
      <c r="F463" s="71" t="inlineStr">
        <is>
          <t>Miscellaneous</t>
        </is>
      </c>
      <c r="G463" s="71" t="inlineStr">
        <is>
          <t>Dec-2025</t>
        </is>
      </c>
      <c r="H463" s="71" t="inlineStr">
        <is>
          <t>Q4 2025</t>
        </is>
      </c>
      <c r="I463" s="73" t="n">
        <v>7162.58</v>
      </c>
      <c r="J463" s="73" t="n">
        <v>6707.68</v>
      </c>
      <c r="K463" s="73" t="n">
        <v>4975.45</v>
      </c>
      <c r="L463" s="80" t="n">
        <v>454.9</v>
      </c>
      <c r="M463" s="78" t="n">
        <v>0.0635</v>
      </c>
      <c r="N463" s="107" t="n">
        <v>0.9364893655638052</v>
      </c>
      <c r="O463" s="108" t="inlineStr">
        <is>
          <t>Under</t>
        </is>
      </c>
      <c r="P463" s="69" t="inlineStr">
        <is>
          <t>On Track</t>
        </is>
      </c>
    </row>
    <row r="464" ht="16" customHeight="1">
      <c r="A464" s="98" t="inlineStr">
        <is>
          <t>CC-00463</t>
        </is>
      </c>
      <c r="B464" s="99" t="inlineStr">
        <is>
          <t>EVT-2025-043</t>
        </is>
      </c>
      <c r="C464" s="100" t="inlineStr">
        <is>
          <t>Ferrozol Speaker Program Vienna Mar 2025</t>
        </is>
      </c>
      <c r="D464" s="100" t="inlineStr">
        <is>
          <t>Hematology</t>
        </is>
      </c>
      <c r="E464" s="100" t="inlineStr">
        <is>
          <t>BU Oncology</t>
        </is>
      </c>
      <c r="F464" s="99" t="inlineStr">
        <is>
          <t>Airfare</t>
        </is>
      </c>
      <c r="G464" s="99" t="inlineStr">
        <is>
          <t>Mar-2025</t>
        </is>
      </c>
      <c r="H464" s="99" t="inlineStr">
        <is>
          <t>Q1 2025</t>
        </is>
      </c>
      <c r="I464" s="101" t="n">
        <v>10811.44</v>
      </c>
      <c r="J464" s="101" t="n">
        <v>8123.89</v>
      </c>
      <c r="K464" s="101" t="n">
        <v>0</v>
      </c>
      <c r="L464" s="102" t="n">
        <v>2687.55</v>
      </c>
      <c r="M464" s="103" t="n">
        <v>0.2486</v>
      </c>
      <c r="N464" s="104" t="n">
        <v>0.7514160925834117</v>
      </c>
      <c r="O464" s="105" t="inlineStr">
        <is>
          <t>Under</t>
        </is>
      </c>
      <c r="P464" s="69" t="inlineStr">
        <is>
          <t>On Track</t>
        </is>
      </c>
    </row>
    <row r="465" ht="16" customHeight="1">
      <c r="A465" s="106" t="inlineStr">
        <is>
          <t>CC-00464</t>
        </is>
      </c>
      <c r="B465" s="71" t="inlineStr">
        <is>
          <t>EVT-2025-043</t>
        </is>
      </c>
      <c r="C465" s="70" t="inlineStr">
        <is>
          <t>Ferrozol Speaker Program Vienna Mar 2025</t>
        </is>
      </c>
      <c r="D465" s="70" t="inlineStr">
        <is>
          <t>Hematology</t>
        </is>
      </c>
      <c r="E465" s="70" t="inlineStr">
        <is>
          <t>BU Oncology</t>
        </is>
      </c>
      <c r="F465" s="71" t="inlineStr">
        <is>
          <t>Hotel</t>
        </is>
      </c>
      <c r="G465" s="71" t="inlineStr">
        <is>
          <t>Mar-2025</t>
        </is>
      </c>
      <c r="H465" s="71" t="inlineStr">
        <is>
          <t>Q1 2025</t>
        </is>
      </c>
      <c r="I465" s="73" t="n">
        <v>19460.59</v>
      </c>
      <c r="J465" s="73" t="n">
        <v>14135.02</v>
      </c>
      <c r="K465" s="73" t="n">
        <v>0</v>
      </c>
      <c r="L465" s="80" t="n">
        <v>5325.57</v>
      </c>
      <c r="M465" s="78" t="n">
        <v>0.2737</v>
      </c>
      <c r="N465" s="107" t="n">
        <v>0.7263407738408754</v>
      </c>
      <c r="O465" s="108" t="inlineStr">
        <is>
          <t>Under</t>
        </is>
      </c>
      <c r="P465" s="69" t="inlineStr">
        <is>
          <t>On Track</t>
        </is>
      </c>
    </row>
    <row r="466" ht="16" customHeight="1">
      <c r="A466" s="98" t="inlineStr">
        <is>
          <t>CC-00465</t>
        </is>
      </c>
      <c r="B466" s="99" t="inlineStr">
        <is>
          <t>EVT-2025-043</t>
        </is>
      </c>
      <c r="C466" s="100" t="inlineStr">
        <is>
          <t>Ferrozol Speaker Program Vienna Mar 2025</t>
        </is>
      </c>
      <c r="D466" s="100" t="inlineStr">
        <is>
          <t>Hematology</t>
        </is>
      </c>
      <c r="E466" s="100" t="inlineStr">
        <is>
          <t>BU Oncology</t>
        </is>
      </c>
      <c r="F466" s="99" t="inlineStr">
        <is>
          <t>Venue</t>
        </is>
      </c>
      <c r="G466" s="99" t="inlineStr">
        <is>
          <t>Mar-2025</t>
        </is>
      </c>
      <c r="H466" s="99" t="inlineStr">
        <is>
          <t>Q1 2025</t>
        </is>
      </c>
      <c r="I466" s="101" t="n">
        <v>16217.16</v>
      </c>
      <c r="J466" s="101" t="n">
        <v>10980.18</v>
      </c>
      <c r="K466" s="101" t="n">
        <v>0</v>
      </c>
      <c r="L466" s="102" t="n">
        <v>5236.98</v>
      </c>
      <c r="M466" s="103" t="n">
        <v>0.3229</v>
      </c>
      <c r="N466" s="104" t="n">
        <v>0.6770716944273844</v>
      </c>
      <c r="O466" s="105" t="inlineStr">
        <is>
          <t>Under</t>
        </is>
      </c>
      <c r="P466" s="69" t="inlineStr">
        <is>
          <t>On Track</t>
        </is>
      </c>
    </row>
    <row r="467" ht="16" customHeight="1">
      <c r="A467" s="106" t="inlineStr">
        <is>
          <t>CC-00466</t>
        </is>
      </c>
      <c r="B467" s="71" t="inlineStr">
        <is>
          <t>EVT-2025-043</t>
        </is>
      </c>
      <c r="C467" s="70" t="inlineStr">
        <is>
          <t>Ferrozol Speaker Program Vienna Mar 2025</t>
        </is>
      </c>
      <c r="D467" s="70" t="inlineStr">
        <is>
          <t>Hematology</t>
        </is>
      </c>
      <c r="E467" s="70" t="inlineStr">
        <is>
          <t>BU Oncology</t>
        </is>
      </c>
      <c r="F467" s="71" t="inlineStr">
        <is>
          <t>F&amp;B</t>
        </is>
      </c>
      <c r="G467" s="71" t="inlineStr">
        <is>
          <t>Mar-2025</t>
        </is>
      </c>
      <c r="H467" s="71" t="inlineStr">
        <is>
          <t>Q1 2025</t>
        </is>
      </c>
      <c r="I467" s="73" t="n">
        <v>12973.73</v>
      </c>
      <c r="J467" s="73" t="n">
        <v>10529.01</v>
      </c>
      <c r="K467" s="73" t="n">
        <v>0</v>
      </c>
      <c r="L467" s="80" t="n">
        <v>2444.72</v>
      </c>
      <c r="M467" s="78" t="n">
        <v>0.1884</v>
      </c>
      <c r="N467" s="107" t="n">
        <v>0.8115638293690404</v>
      </c>
      <c r="O467" s="108" t="inlineStr">
        <is>
          <t>Under</t>
        </is>
      </c>
      <c r="P467" s="69" t="inlineStr">
        <is>
          <t>On Track</t>
        </is>
      </c>
    </row>
    <row r="468" ht="16" customHeight="1">
      <c r="A468" s="98" t="inlineStr">
        <is>
          <t>CC-00467</t>
        </is>
      </c>
      <c r="B468" s="99" t="inlineStr">
        <is>
          <t>EVT-2025-043</t>
        </is>
      </c>
      <c r="C468" s="100" t="inlineStr">
        <is>
          <t>Ferrozol Speaker Program Vienna Mar 2025</t>
        </is>
      </c>
      <c r="D468" s="100" t="inlineStr">
        <is>
          <t>Hematology</t>
        </is>
      </c>
      <c r="E468" s="100" t="inlineStr">
        <is>
          <t>BU Oncology</t>
        </is>
      </c>
      <c r="F468" s="99" t="inlineStr">
        <is>
          <t>Logistics</t>
        </is>
      </c>
      <c r="G468" s="99" t="inlineStr">
        <is>
          <t>Mar-2025</t>
        </is>
      </c>
      <c r="H468" s="99" t="inlineStr">
        <is>
          <t>Q1 2025</t>
        </is>
      </c>
      <c r="I468" s="101" t="n">
        <v>6486.86</v>
      </c>
      <c r="J468" s="101" t="n">
        <v>5114.86</v>
      </c>
      <c r="K468" s="101" t="n">
        <v>0</v>
      </c>
      <c r="L468" s="102" t="n">
        <v>1372</v>
      </c>
      <c r="M468" s="103" t="n">
        <v>0.2115</v>
      </c>
      <c r="N468" s="104" t="n">
        <v>0.7884955124667404</v>
      </c>
      <c r="O468" s="105" t="inlineStr">
        <is>
          <t>Under</t>
        </is>
      </c>
      <c r="P468" s="69" t="inlineStr">
        <is>
          <t>On Track</t>
        </is>
      </c>
    </row>
    <row r="469" ht="16" customHeight="1">
      <c r="A469" s="106" t="inlineStr">
        <is>
          <t>CC-00468</t>
        </is>
      </c>
      <c r="B469" s="71" t="inlineStr">
        <is>
          <t>EVT-2025-043</t>
        </is>
      </c>
      <c r="C469" s="70" t="inlineStr">
        <is>
          <t>Ferrozol Speaker Program Vienna Mar 2025</t>
        </is>
      </c>
      <c r="D469" s="70" t="inlineStr">
        <is>
          <t>Hematology</t>
        </is>
      </c>
      <c r="E469" s="70" t="inlineStr">
        <is>
          <t>BU Oncology</t>
        </is>
      </c>
      <c r="F469" s="71" t="inlineStr">
        <is>
          <t>AV &amp; Technology</t>
        </is>
      </c>
      <c r="G469" s="71" t="inlineStr">
        <is>
          <t>Mar-2025</t>
        </is>
      </c>
      <c r="H469" s="71" t="inlineStr">
        <is>
          <t>Q1 2025</t>
        </is>
      </c>
      <c r="I469" s="73" t="n">
        <v>8649.15</v>
      </c>
      <c r="J469" s="73" t="n">
        <v>7131.51</v>
      </c>
      <c r="K469" s="73" t="n">
        <v>0</v>
      </c>
      <c r="L469" s="80" t="n">
        <v>1517.64</v>
      </c>
      <c r="M469" s="78" t="n">
        <v>0.1755</v>
      </c>
      <c r="N469" s="107" t="n">
        <v>0.824533046599955</v>
      </c>
      <c r="O469" s="108" t="inlineStr">
        <is>
          <t>Under</t>
        </is>
      </c>
      <c r="P469" s="69" t="inlineStr">
        <is>
          <t>On Track</t>
        </is>
      </c>
    </row>
    <row r="470" ht="16" customHeight="1">
      <c r="A470" s="98" t="inlineStr">
        <is>
          <t>CC-00469</t>
        </is>
      </c>
      <c r="B470" s="99" t="inlineStr">
        <is>
          <t>EVT-2025-043</t>
        </is>
      </c>
      <c r="C470" s="100" t="inlineStr">
        <is>
          <t>Ferrozol Speaker Program Vienna Mar 2025</t>
        </is>
      </c>
      <c r="D470" s="100" t="inlineStr">
        <is>
          <t>Hematology</t>
        </is>
      </c>
      <c r="E470" s="100" t="inlineStr">
        <is>
          <t>BU Oncology</t>
        </is>
      </c>
      <c r="F470" s="99" t="inlineStr">
        <is>
          <t>Agency Fees</t>
        </is>
      </c>
      <c r="G470" s="99" t="inlineStr">
        <is>
          <t>Mar-2025</t>
        </is>
      </c>
      <c r="H470" s="99" t="inlineStr">
        <is>
          <t>Q1 2025</t>
        </is>
      </c>
      <c r="I470" s="101" t="n">
        <v>15136.02</v>
      </c>
      <c r="J470" s="101" t="n">
        <v>13606.78</v>
      </c>
      <c r="K470" s="101" t="n">
        <v>0</v>
      </c>
      <c r="L470" s="102" t="n">
        <v>1529.24</v>
      </c>
      <c r="M470" s="103" t="n">
        <v>0.101</v>
      </c>
      <c r="N470" s="104" t="n">
        <v>0.8989668354032302</v>
      </c>
      <c r="O470" s="105" t="inlineStr">
        <is>
          <t>Under</t>
        </is>
      </c>
      <c r="P470" s="69" t="inlineStr">
        <is>
          <t>On Track</t>
        </is>
      </c>
    </row>
    <row r="471" ht="16" customHeight="1">
      <c r="A471" s="106" t="inlineStr">
        <is>
          <t>CC-00470</t>
        </is>
      </c>
      <c r="B471" s="71" t="inlineStr">
        <is>
          <t>EVT-2025-043</t>
        </is>
      </c>
      <c r="C471" s="70" t="inlineStr">
        <is>
          <t>Ferrozol Speaker Program Vienna Mar 2025</t>
        </is>
      </c>
      <c r="D471" s="70" t="inlineStr">
        <is>
          <t>Hematology</t>
        </is>
      </c>
      <c r="E471" s="70" t="inlineStr">
        <is>
          <t>BU Oncology</t>
        </is>
      </c>
      <c r="F471" s="71" t="inlineStr">
        <is>
          <t>Speaker Fees</t>
        </is>
      </c>
      <c r="G471" s="71" t="inlineStr">
        <is>
          <t>Mar-2025</t>
        </is>
      </c>
      <c r="H471" s="71" t="inlineStr">
        <is>
          <t>Q1 2025</t>
        </is>
      </c>
      <c r="I471" s="73" t="n">
        <v>10811.44</v>
      </c>
      <c r="J471" s="73" t="n">
        <v>9634.309999999999</v>
      </c>
      <c r="K471" s="73" t="n">
        <v>0</v>
      </c>
      <c r="L471" s="80" t="n">
        <v>1177.13</v>
      </c>
      <c r="M471" s="78" t="n">
        <v>0.1089</v>
      </c>
      <c r="N471" s="107" t="n">
        <v>0.8911218117105584</v>
      </c>
      <c r="O471" s="108" t="inlineStr">
        <is>
          <t>Under</t>
        </is>
      </c>
      <c r="P471" s="69" t="inlineStr">
        <is>
          <t>On Track</t>
        </is>
      </c>
    </row>
    <row r="472" ht="16" customHeight="1">
      <c r="A472" s="98" t="inlineStr">
        <is>
          <t>CC-00471</t>
        </is>
      </c>
      <c r="B472" s="99" t="inlineStr">
        <is>
          <t>EVT-2025-043</t>
        </is>
      </c>
      <c r="C472" s="100" t="inlineStr">
        <is>
          <t>Ferrozol Speaker Program Vienna Mar 2025</t>
        </is>
      </c>
      <c r="D472" s="100" t="inlineStr">
        <is>
          <t>Hematology</t>
        </is>
      </c>
      <c r="E472" s="100" t="inlineStr">
        <is>
          <t>BU Oncology</t>
        </is>
      </c>
      <c r="F472" s="99" t="inlineStr">
        <is>
          <t>Translation</t>
        </is>
      </c>
      <c r="G472" s="99" t="inlineStr">
        <is>
          <t>Mar-2025</t>
        </is>
      </c>
      <c r="H472" s="99" t="inlineStr">
        <is>
          <t>Q1 2025</t>
        </is>
      </c>
      <c r="I472" s="101" t="n">
        <v>3243.43</v>
      </c>
      <c r="J472" s="101" t="n">
        <v>2812.65</v>
      </c>
      <c r="K472" s="101" t="n">
        <v>0</v>
      </c>
      <c r="L472" s="102" t="n">
        <v>430.78</v>
      </c>
      <c r="M472" s="103" t="n">
        <v>0.1328</v>
      </c>
      <c r="N472" s="104" t="n">
        <v>0.8671838146653389</v>
      </c>
      <c r="O472" s="105" t="inlineStr">
        <is>
          <t>Under</t>
        </is>
      </c>
      <c r="P472" s="69" t="inlineStr">
        <is>
          <t>On Track</t>
        </is>
      </c>
    </row>
    <row r="473" ht="16" customHeight="1">
      <c r="A473" s="106" t="inlineStr">
        <is>
          <t>CC-00472</t>
        </is>
      </c>
      <c r="B473" s="71" t="inlineStr">
        <is>
          <t>EVT-2025-043</t>
        </is>
      </c>
      <c r="C473" s="70" t="inlineStr">
        <is>
          <t>Ferrozol Speaker Program Vienna Mar 2025</t>
        </is>
      </c>
      <c r="D473" s="70" t="inlineStr">
        <is>
          <t>Hematology</t>
        </is>
      </c>
      <c r="E473" s="70" t="inlineStr">
        <is>
          <t>BU Oncology</t>
        </is>
      </c>
      <c r="F473" s="71" t="inlineStr">
        <is>
          <t>Print &amp; Production</t>
        </is>
      </c>
      <c r="G473" s="71" t="inlineStr">
        <is>
          <t>Mar-2025</t>
        </is>
      </c>
      <c r="H473" s="71" t="inlineStr">
        <is>
          <t>Q1 2025</t>
        </is>
      </c>
      <c r="I473" s="73" t="n">
        <v>2162.29</v>
      </c>
      <c r="J473" s="73" t="n">
        <v>2295.81</v>
      </c>
      <c r="K473" s="73" t="n">
        <v>0</v>
      </c>
      <c r="L473" s="74" t="n">
        <v>-133.52</v>
      </c>
      <c r="M473" s="75" t="n">
        <v>-0.0617</v>
      </c>
      <c r="N473" s="107" t="n">
        <v>1.061749349069736</v>
      </c>
      <c r="O473" s="112" t="inlineStr">
        <is>
          <t>Over</t>
        </is>
      </c>
      <c r="P473" s="76" t="inlineStr">
        <is>
          <t>Watch</t>
        </is>
      </c>
    </row>
    <row r="474" ht="16" customHeight="1">
      <c r="A474" s="98" t="inlineStr">
        <is>
          <t>CC-00473</t>
        </is>
      </c>
      <c r="B474" s="99" t="inlineStr">
        <is>
          <t>EVT-2025-043</t>
        </is>
      </c>
      <c r="C474" s="100" t="inlineStr">
        <is>
          <t>Ferrozol Speaker Program Vienna Mar 2025</t>
        </is>
      </c>
      <c r="D474" s="100" t="inlineStr">
        <is>
          <t>Hematology</t>
        </is>
      </c>
      <c r="E474" s="100" t="inlineStr">
        <is>
          <t>BU Oncology</t>
        </is>
      </c>
      <c r="F474" s="99" t="inlineStr">
        <is>
          <t>Miscellaneous</t>
        </is>
      </c>
      <c r="G474" s="99" t="inlineStr">
        <is>
          <t>Mar-2025</t>
        </is>
      </c>
      <c r="H474" s="99" t="inlineStr">
        <is>
          <t>Q1 2025</t>
        </is>
      </c>
      <c r="I474" s="101" t="n">
        <v>2162.29</v>
      </c>
      <c r="J474" s="101" t="n">
        <v>2237.57</v>
      </c>
      <c r="K474" s="101" t="n">
        <v>0</v>
      </c>
      <c r="L474" s="109" t="n">
        <v>-75.28</v>
      </c>
      <c r="M474" s="103" t="n">
        <v>-0.0348</v>
      </c>
      <c r="N474" s="104" t="n">
        <v>1.03481494156658</v>
      </c>
      <c r="O474" s="111" t="inlineStr">
        <is>
          <t>Over</t>
        </is>
      </c>
      <c r="P474" s="69" t="inlineStr">
        <is>
          <t>On Track</t>
        </is>
      </c>
    </row>
    <row r="475" ht="16" customHeight="1">
      <c r="A475" s="106" t="inlineStr">
        <is>
          <t>CC-00474</t>
        </is>
      </c>
      <c r="B475" s="71" t="inlineStr">
        <is>
          <t>EVT-2025-044</t>
        </is>
      </c>
      <c r="C475" s="70" t="inlineStr">
        <is>
          <t>Vaccinade KOL Meeting Zurich Mar 2025</t>
        </is>
      </c>
      <c r="D475" s="70" t="inlineStr">
        <is>
          <t>Infectious Diseases</t>
        </is>
      </c>
      <c r="E475" s="70" t="inlineStr">
        <is>
          <t>BU Infectious Diseases</t>
        </is>
      </c>
      <c r="F475" s="71" t="inlineStr">
        <is>
          <t>Airfare</t>
        </is>
      </c>
      <c r="G475" s="71" t="inlineStr">
        <is>
          <t>Mar-2025</t>
        </is>
      </c>
      <c r="H475" s="71" t="inlineStr">
        <is>
          <t>Q1 2025</t>
        </is>
      </c>
      <c r="I475" s="73" t="n">
        <v>49333.09</v>
      </c>
      <c r="J475" s="73" t="n">
        <v>39917.89</v>
      </c>
      <c r="K475" s="73" t="n">
        <v>28382.8</v>
      </c>
      <c r="L475" s="80" t="n">
        <v>9415.200000000001</v>
      </c>
      <c r="M475" s="78" t="n">
        <v>0.1908</v>
      </c>
      <c r="N475" s="107" t="n">
        <v>0.809150409998644</v>
      </c>
      <c r="O475" s="108" t="inlineStr">
        <is>
          <t>Under</t>
        </is>
      </c>
      <c r="P475" s="69" t="inlineStr">
        <is>
          <t>On Track</t>
        </is>
      </c>
    </row>
    <row r="476" ht="16" customHeight="1">
      <c r="A476" s="98" t="inlineStr">
        <is>
          <t>CC-00475</t>
        </is>
      </c>
      <c r="B476" s="99" t="inlineStr">
        <is>
          <t>EVT-2025-044</t>
        </is>
      </c>
      <c r="C476" s="100" t="inlineStr">
        <is>
          <t>Vaccinade KOL Meeting Zurich Mar 2025</t>
        </is>
      </c>
      <c r="D476" s="100" t="inlineStr">
        <is>
          <t>Infectious Diseases</t>
        </is>
      </c>
      <c r="E476" s="100" t="inlineStr">
        <is>
          <t>BU Infectious Diseases</t>
        </is>
      </c>
      <c r="F476" s="99" t="inlineStr">
        <is>
          <t>Hotel</t>
        </is>
      </c>
      <c r="G476" s="99" t="inlineStr">
        <is>
          <t>Mar-2025</t>
        </is>
      </c>
      <c r="H476" s="99" t="inlineStr">
        <is>
          <t>Q1 2025</t>
        </is>
      </c>
      <c r="I476" s="101" t="n">
        <v>88799.57000000001</v>
      </c>
      <c r="J476" s="101" t="n">
        <v>96277.74000000001</v>
      </c>
      <c r="K476" s="101" t="n">
        <v>87659.95</v>
      </c>
      <c r="L476" s="109" t="n">
        <v>-7478.17</v>
      </c>
      <c r="M476" s="110" t="n">
        <v>-0.0842</v>
      </c>
      <c r="N476" s="104" t="n">
        <v>1.084214033919308</v>
      </c>
      <c r="O476" s="111" t="inlineStr">
        <is>
          <t>Over</t>
        </is>
      </c>
      <c r="P476" s="76" t="inlineStr">
        <is>
          <t>Watch</t>
        </is>
      </c>
    </row>
    <row r="477" ht="16" customHeight="1">
      <c r="A477" s="106" t="inlineStr">
        <is>
          <t>CC-00476</t>
        </is>
      </c>
      <c r="B477" s="71" t="inlineStr">
        <is>
          <t>EVT-2025-044</t>
        </is>
      </c>
      <c r="C477" s="70" t="inlineStr">
        <is>
          <t>Vaccinade KOL Meeting Zurich Mar 2025</t>
        </is>
      </c>
      <c r="D477" s="70" t="inlineStr">
        <is>
          <t>Infectious Diseases</t>
        </is>
      </c>
      <c r="E477" s="70" t="inlineStr">
        <is>
          <t>BU Infectious Diseases</t>
        </is>
      </c>
      <c r="F477" s="71" t="inlineStr">
        <is>
          <t>Venue</t>
        </is>
      </c>
      <c r="G477" s="71" t="inlineStr">
        <is>
          <t>Mar-2025</t>
        </is>
      </c>
      <c r="H477" s="71" t="inlineStr">
        <is>
          <t>Q1 2025</t>
        </is>
      </c>
      <c r="I477" s="73" t="n">
        <v>73999.64</v>
      </c>
      <c r="J477" s="73" t="n">
        <v>74454.63</v>
      </c>
      <c r="K477" s="73" t="n">
        <v>65382.03</v>
      </c>
      <c r="L477" s="74" t="n">
        <v>-454.99</v>
      </c>
      <c r="M477" s="78" t="n">
        <v>-0.0061</v>
      </c>
      <c r="N477" s="107" t="n">
        <v>1.006148543425347</v>
      </c>
      <c r="O477" s="112" t="inlineStr">
        <is>
          <t>Over</t>
        </is>
      </c>
      <c r="P477" s="69" t="inlineStr">
        <is>
          <t>On Track</t>
        </is>
      </c>
    </row>
    <row r="478" ht="16" customHeight="1">
      <c r="A478" s="98" t="inlineStr">
        <is>
          <t>CC-00477</t>
        </is>
      </c>
      <c r="B478" s="99" t="inlineStr">
        <is>
          <t>EVT-2025-044</t>
        </is>
      </c>
      <c r="C478" s="100" t="inlineStr">
        <is>
          <t>Vaccinade KOL Meeting Zurich Mar 2025</t>
        </is>
      </c>
      <c r="D478" s="100" t="inlineStr">
        <is>
          <t>Infectious Diseases</t>
        </is>
      </c>
      <c r="E478" s="100" t="inlineStr">
        <is>
          <t>BU Infectious Diseases</t>
        </is>
      </c>
      <c r="F478" s="99" t="inlineStr">
        <is>
          <t>F&amp;B</t>
        </is>
      </c>
      <c r="G478" s="99" t="inlineStr">
        <is>
          <t>Mar-2025</t>
        </is>
      </c>
      <c r="H478" s="99" t="inlineStr">
        <is>
          <t>Q1 2025</t>
        </is>
      </c>
      <c r="I478" s="101" t="n">
        <v>59199.71</v>
      </c>
      <c r="J478" s="101" t="n">
        <v>62585.97</v>
      </c>
      <c r="K478" s="101" t="n">
        <v>45863.68</v>
      </c>
      <c r="L478" s="109" t="n">
        <v>-3386.26</v>
      </c>
      <c r="M478" s="110" t="n">
        <v>-0.0572</v>
      </c>
      <c r="N478" s="104" t="n">
        <v>1.057200618043568</v>
      </c>
      <c r="O478" s="111" t="inlineStr">
        <is>
          <t>Over</t>
        </is>
      </c>
      <c r="P478" s="76" t="inlineStr">
        <is>
          <t>Watch</t>
        </is>
      </c>
    </row>
    <row r="479" ht="16" customHeight="1">
      <c r="A479" s="106" t="inlineStr">
        <is>
          <t>CC-00478</t>
        </is>
      </c>
      <c r="B479" s="71" t="inlineStr">
        <is>
          <t>EVT-2025-044</t>
        </is>
      </c>
      <c r="C479" s="70" t="inlineStr">
        <is>
          <t>Vaccinade KOL Meeting Zurich Mar 2025</t>
        </is>
      </c>
      <c r="D479" s="70" t="inlineStr">
        <is>
          <t>Infectious Diseases</t>
        </is>
      </c>
      <c r="E479" s="70" t="inlineStr">
        <is>
          <t>BU Infectious Diseases</t>
        </is>
      </c>
      <c r="F479" s="71" t="inlineStr">
        <is>
          <t>Logistics</t>
        </is>
      </c>
      <c r="G479" s="71" t="inlineStr">
        <is>
          <t>Mar-2025</t>
        </is>
      </c>
      <c r="H479" s="71" t="inlineStr">
        <is>
          <t>Q1 2025</t>
        </is>
      </c>
      <c r="I479" s="73" t="n">
        <v>29599.86</v>
      </c>
      <c r="J479" s="73" t="n">
        <v>21433.72</v>
      </c>
      <c r="K479" s="73" t="n">
        <v>19277.66</v>
      </c>
      <c r="L479" s="80" t="n">
        <v>8166.14</v>
      </c>
      <c r="M479" s="78" t="n">
        <v>0.2759</v>
      </c>
      <c r="N479" s="107" t="n">
        <v>0.7241155870331819</v>
      </c>
      <c r="O479" s="108" t="inlineStr">
        <is>
          <t>Under</t>
        </is>
      </c>
      <c r="P479" s="69" t="inlineStr">
        <is>
          <t>On Track</t>
        </is>
      </c>
    </row>
    <row r="480" ht="16" customHeight="1">
      <c r="A480" s="98" t="inlineStr">
        <is>
          <t>CC-00479</t>
        </is>
      </c>
      <c r="B480" s="99" t="inlineStr">
        <is>
          <t>EVT-2025-044</t>
        </is>
      </c>
      <c r="C480" s="100" t="inlineStr">
        <is>
          <t>Vaccinade KOL Meeting Zurich Mar 2025</t>
        </is>
      </c>
      <c r="D480" s="100" t="inlineStr">
        <is>
          <t>Infectious Diseases</t>
        </is>
      </c>
      <c r="E480" s="100" t="inlineStr">
        <is>
          <t>BU Infectious Diseases</t>
        </is>
      </c>
      <c r="F480" s="99" t="inlineStr">
        <is>
          <t>AV &amp; Technology</t>
        </is>
      </c>
      <c r="G480" s="99" t="inlineStr">
        <is>
          <t>Mar-2025</t>
        </is>
      </c>
      <c r="H480" s="99" t="inlineStr">
        <is>
          <t>Q1 2025</t>
        </is>
      </c>
      <c r="I480" s="101" t="n">
        <v>39466.48</v>
      </c>
      <c r="J480" s="101" t="n">
        <v>26962.29</v>
      </c>
      <c r="K480" s="101" t="n">
        <v>23829.36</v>
      </c>
      <c r="L480" s="102" t="n">
        <v>12504.19</v>
      </c>
      <c r="M480" s="103" t="n">
        <v>0.3168</v>
      </c>
      <c r="N480" s="104" t="n">
        <v>0.6831693629632032</v>
      </c>
      <c r="O480" s="105" t="inlineStr">
        <is>
          <t>Under</t>
        </is>
      </c>
      <c r="P480" s="69" t="inlineStr">
        <is>
          <t>On Track</t>
        </is>
      </c>
    </row>
    <row r="481" ht="16" customHeight="1">
      <c r="A481" s="106" t="inlineStr">
        <is>
          <t>CC-00480</t>
        </is>
      </c>
      <c r="B481" s="71" t="inlineStr">
        <is>
          <t>EVT-2025-044</t>
        </is>
      </c>
      <c r="C481" s="70" t="inlineStr">
        <is>
          <t>Vaccinade KOL Meeting Zurich Mar 2025</t>
        </is>
      </c>
      <c r="D481" s="70" t="inlineStr">
        <is>
          <t>Infectious Diseases</t>
        </is>
      </c>
      <c r="E481" s="70" t="inlineStr">
        <is>
          <t>BU Infectious Diseases</t>
        </is>
      </c>
      <c r="F481" s="71" t="inlineStr">
        <is>
          <t>Agency Fees</t>
        </is>
      </c>
      <c r="G481" s="71" t="inlineStr">
        <is>
          <t>Mar-2025</t>
        </is>
      </c>
      <c r="H481" s="71" t="inlineStr">
        <is>
          <t>Q1 2025</t>
        </is>
      </c>
      <c r="I481" s="73" t="n">
        <v>69066.33</v>
      </c>
      <c r="J481" s="73" t="n">
        <v>60889.58</v>
      </c>
      <c r="K481" s="73" t="n">
        <v>54405.41</v>
      </c>
      <c r="L481" s="80" t="n">
        <v>8176.75</v>
      </c>
      <c r="M481" s="78" t="n">
        <v>0.1184</v>
      </c>
      <c r="N481" s="107" t="n">
        <v>0.8816101854550545</v>
      </c>
      <c r="O481" s="108" t="inlineStr">
        <is>
          <t>Under</t>
        </is>
      </c>
      <c r="P481" s="69" t="inlineStr">
        <is>
          <t>On Track</t>
        </is>
      </c>
    </row>
    <row r="482" ht="16" customHeight="1">
      <c r="A482" s="98" t="inlineStr">
        <is>
          <t>CC-00481</t>
        </is>
      </c>
      <c r="B482" s="99" t="inlineStr">
        <is>
          <t>EVT-2025-044</t>
        </is>
      </c>
      <c r="C482" s="100" t="inlineStr">
        <is>
          <t>Vaccinade KOL Meeting Zurich Mar 2025</t>
        </is>
      </c>
      <c r="D482" s="100" t="inlineStr">
        <is>
          <t>Infectious Diseases</t>
        </is>
      </c>
      <c r="E482" s="100" t="inlineStr">
        <is>
          <t>BU Infectious Diseases</t>
        </is>
      </c>
      <c r="F482" s="99" t="inlineStr">
        <is>
          <t>Speaker Fees</t>
        </is>
      </c>
      <c r="G482" s="99" t="inlineStr">
        <is>
          <t>Mar-2025</t>
        </is>
      </c>
      <c r="H482" s="99" t="inlineStr">
        <is>
          <t>Q1 2025</t>
        </is>
      </c>
      <c r="I482" s="101" t="n">
        <v>49333.09</v>
      </c>
      <c r="J482" s="101" t="n">
        <v>45552.78</v>
      </c>
      <c r="K482" s="101" t="n">
        <v>45099.23</v>
      </c>
      <c r="L482" s="102" t="n">
        <v>3780.31</v>
      </c>
      <c r="M482" s="103" t="n">
        <v>0.0766</v>
      </c>
      <c r="N482" s="104" t="n">
        <v>0.9233717166307644</v>
      </c>
      <c r="O482" s="105" t="inlineStr">
        <is>
          <t>Under</t>
        </is>
      </c>
      <c r="P482" s="69" t="inlineStr">
        <is>
          <t>On Track</t>
        </is>
      </c>
    </row>
    <row r="483" ht="16" customHeight="1">
      <c r="A483" s="106" t="inlineStr">
        <is>
          <t>CC-00482</t>
        </is>
      </c>
      <c r="B483" s="71" t="inlineStr">
        <is>
          <t>EVT-2025-044</t>
        </is>
      </c>
      <c r="C483" s="70" t="inlineStr">
        <is>
          <t>Vaccinade KOL Meeting Zurich Mar 2025</t>
        </is>
      </c>
      <c r="D483" s="70" t="inlineStr">
        <is>
          <t>Infectious Diseases</t>
        </is>
      </c>
      <c r="E483" s="70" t="inlineStr">
        <is>
          <t>BU Infectious Diseases</t>
        </is>
      </c>
      <c r="F483" s="71" t="inlineStr">
        <is>
          <t>Translation</t>
        </is>
      </c>
      <c r="G483" s="71" t="inlineStr">
        <is>
          <t>Mar-2025</t>
        </is>
      </c>
      <c r="H483" s="71" t="inlineStr">
        <is>
          <t>Q1 2025</t>
        </is>
      </c>
      <c r="I483" s="73" t="n">
        <v>14799.93</v>
      </c>
      <c r="J483" s="73" t="n">
        <v>11333.76</v>
      </c>
      <c r="K483" s="73" t="n">
        <v>10640.92</v>
      </c>
      <c r="L483" s="80" t="n">
        <v>3466.17</v>
      </c>
      <c r="M483" s="78" t="n">
        <v>0.2342</v>
      </c>
      <c r="N483" s="107" t="n">
        <v>0.7657982166131867</v>
      </c>
      <c r="O483" s="108" t="inlineStr">
        <is>
          <t>Under</t>
        </is>
      </c>
      <c r="P483" s="69" t="inlineStr">
        <is>
          <t>On Track</t>
        </is>
      </c>
    </row>
    <row r="484" ht="16" customHeight="1">
      <c r="A484" s="98" t="inlineStr">
        <is>
          <t>CC-00483</t>
        </is>
      </c>
      <c r="B484" s="99" t="inlineStr">
        <is>
          <t>EVT-2025-044</t>
        </is>
      </c>
      <c r="C484" s="100" t="inlineStr">
        <is>
          <t>Vaccinade KOL Meeting Zurich Mar 2025</t>
        </is>
      </c>
      <c r="D484" s="100" t="inlineStr">
        <is>
          <t>Infectious Diseases</t>
        </is>
      </c>
      <c r="E484" s="100" t="inlineStr">
        <is>
          <t>BU Infectious Diseases</t>
        </is>
      </c>
      <c r="F484" s="99" t="inlineStr">
        <is>
          <t>Print &amp; Production</t>
        </is>
      </c>
      <c r="G484" s="99" t="inlineStr">
        <is>
          <t>Mar-2025</t>
        </is>
      </c>
      <c r="H484" s="99" t="inlineStr">
        <is>
          <t>Q1 2025</t>
        </is>
      </c>
      <c r="I484" s="101" t="n">
        <v>9866.620000000001</v>
      </c>
      <c r="J484" s="101" t="n">
        <v>6442.63</v>
      </c>
      <c r="K484" s="101" t="n">
        <v>4700.43</v>
      </c>
      <c r="L484" s="102" t="n">
        <v>3423.99</v>
      </c>
      <c r="M484" s="103" t="n">
        <v>0.347</v>
      </c>
      <c r="N484" s="104" t="n">
        <v>0.6529723451394702</v>
      </c>
      <c r="O484" s="105" t="inlineStr">
        <is>
          <t>Under</t>
        </is>
      </c>
      <c r="P484" s="69" t="inlineStr">
        <is>
          <t>On Track</t>
        </is>
      </c>
    </row>
    <row r="485" ht="16" customHeight="1">
      <c r="A485" s="106" t="inlineStr">
        <is>
          <t>CC-00484</t>
        </is>
      </c>
      <c r="B485" s="71" t="inlineStr">
        <is>
          <t>EVT-2025-044</t>
        </is>
      </c>
      <c r="C485" s="70" t="inlineStr">
        <is>
          <t>Vaccinade KOL Meeting Zurich Mar 2025</t>
        </is>
      </c>
      <c r="D485" s="70" t="inlineStr">
        <is>
          <t>Infectious Diseases</t>
        </is>
      </c>
      <c r="E485" s="70" t="inlineStr">
        <is>
          <t>BU Infectious Diseases</t>
        </is>
      </c>
      <c r="F485" s="71" t="inlineStr">
        <is>
          <t>Miscellaneous</t>
        </is>
      </c>
      <c r="G485" s="71" t="inlineStr">
        <is>
          <t>Mar-2025</t>
        </is>
      </c>
      <c r="H485" s="71" t="inlineStr">
        <is>
          <t>Q1 2025</t>
        </is>
      </c>
      <c r="I485" s="73" t="n">
        <v>9866.620000000001</v>
      </c>
      <c r="J485" s="73" t="n">
        <v>7015.17</v>
      </c>
      <c r="K485" s="73" t="n">
        <v>6482.41</v>
      </c>
      <c r="L485" s="80" t="n">
        <v>2851.45</v>
      </c>
      <c r="M485" s="78" t="n">
        <v>0.289</v>
      </c>
      <c r="N485" s="107" t="n">
        <v>0.7110003222988216</v>
      </c>
      <c r="O485" s="108" t="inlineStr">
        <is>
          <t>Under</t>
        </is>
      </c>
      <c r="P485" s="69" t="inlineStr">
        <is>
          <t>On Track</t>
        </is>
      </c>
    </row>
    <row r="486" ht="16" customHeight="1">
      <c r="A486" s="98" t="inlineStr">
        <is>
          <t>CC-00485</t>
        </is>
      </c>
      <c r="B486" s="99" t="inlineStr">
        <is>
          <t>EVT-2025-045</t>
        </is>
      </c>
      <c r="C486" s="100" t="inlineStr">
        <is>
          <t>Imunexal Symposium Brussels Jun 2025</t>
        </is>
      </c>
      <c r="D486" s="100" t="inlineStr">
        <is>
          <t>Immunology</t>
        </is>
      </c>
      <c r="E486" s="100" t="inlineStr">
        <is>
          <t>BU Immunology</t>
        </is>
      </c>
      <c r="F486" s="99" t="inlineStr">
        <is>
          <t>Airfare</t>
        </is>
      </c>
      <c r="G486" s="99" t="inlineStr">
        <is>
          <t>Jun-2025</t>
        </is>
      </c>
      <c r="H486" s="99" t="inlineStr">
        <is>
          <t>Q2 2025</t>
        </is>
      </c>
      <c r="I486" s="101" t="n">
        <v>10438.95</v>
      </c>
      <c r="J486" s="101" t="n">
        <v>9175.799999999999</v>
      </c>
      <c r="K486" s="101" t="n">
        <v>0</v>
      </c>
      <c r="L486" s="102" t="n">
        <v>1263.15</v>
      </c>
      <c r="M486" s="103" t="n">
        <v>0.121</v>
      </c>
      <c r="N486" s="104" t="n">
        <v>0.8789964507924646</v>
      </c>
      <c r="O486" s="105" t="inlineStr">
        <is>
          <t>Under</t>
        </is>
      </c>
      <c r="P486" s="69" t="inlineStr">
        <is>
          <t>On Track</t>
        </is>
      </c>
    </row>
    <row r="487" ht="16" customHeight="1">
      <c r="A487" s="106" t="inlineStr">
        <is>
          <t>CC-00486</t>
        </is>
      </c>
      <c r="B487" s="71" t="inlineStr">
        <is>
          <t>EVT-2025-045</t>
        </is>
      </c>
      <c r="C487" s="70" t="inlineStr">
        <is>
          <t>Imunexal Symposium Brussels Jun 2025</t>
        </is>
      </c>
      <c r="D487" s="70" t="inlineStr">
        <is>
          <t>Immunology</t>
        </is>
      </c>
      <c r="E487" s="70" t="inlineStr">
        <is>
          <t>BU Immunology</t>
        </is>
      </c>
      <c r="F487" s="71" t="inlineStr">
        <is>
          <t>Hotel</t>
        </is>
      </c>
      <c r="G487" s="71" t="inlineStr">
        <is>
          <t>Jun-2025</t>
        </is>
      </c>
      <c r="H487" s="71" t="inlineStr">
        <is>
          <t>Q2 2025</t>
        </is>
      </c>
      <c r="I487" s="73" t="n">
        <v>18790.12</v>
      </c>
      <c r="J487" s="73" t="n">
        <v>17734.72</v>
      </c>
      <c r="K487" s="73" t="n">
        <v>0</v>
      </c>
      <c r="L487" s="80" t="n">
        <v>1055.4</v>
      </c>
      <c r="M487" s="78" t="n">
        <v>0.0562</v>
      </c>
      <c r="N487" s="107" t="n">
        <v>0.9438321841478395</v>
      </c>
      <c r="O487" s="108" t="inlineStr">
        <is>
          <t>Under</t>
        </is>
      </c>
      <c r="P487" s="69" t="inlineStr">
        <is>
          <t>On Track</t>
        </is>
      </c>
    </row>
    <row r="488" ht="16" customHeight="1">
      <c r="A488" s="98" t="inlineStr">
        <is>
          <t>CC-00487</t>
        </is>
      </c>
      <c r="B488" s="99" t="inlineStr">
        <is>
          <t>EVT-2025-045</t>
        </is>
      </c>
      <c r="C488" s="100" t="inlineStr">
        <is>
          <t>Imunexal Symposium Brussels Jun 2025</t>
        </is>
      </c>
      <c r="D488" s="100" t="inlineStr">
        <is>
          <t>Immunology</t>
        </is>
      </c>
      <c r="E488" s="100" t="inlineStr">
        <is>
          <t>BU Immunology</t>
        </is>
      </c>
      <c r="F488" s="99" t="inlineStr">
        <is>
          <t>Venue</t>
        </is>
      </c>
      <c r="G488" s="99" t="inlineStr">
        <is>
          <t>Jun-2025</t>
        </is>
      </c>
      <c r="H488" s="99" t="inlineStr">
        <is>
          <t>Q2 2025</t>
        </is>
      </c>
      <c r="I488" s="101" t="n">
        <v>15658.43</v>
      </c>
      <c r="J488" s="101" t="n">
        <v>11125.56</v>
      </c>
      <c r="K488" s="101" t="n">
        <v>0</v>
      </c>
      <c r="L488" s="102" t="n">
        <v>4532.87</v>
      </c>
      <c r="M488" s="103" t="n">
        <v>0.2895</v>
      </c>
      <c r="N488" s="104" t="n">
        <v>0.7105156774976801</v>
      </c>
      <c r="O488" s="105" t="inlineStr">
        <is>
          <t>Under</t>
        </is>
      </c>
      <c r="P488" s="69" t="inlineStr">
        <is>
          <t>On Track</t>
        </is>
      </c>
    </row>
    <row r="489" ht="16" customHeight="1">
      <c r="A489" s="106" t="inlineStr">
        <is>
          <t>CC-00488</t>
        </is>
      </c>
      <c r="B489" s="71" t="inlineStr">
        <is>
          <t>EVT-2025-045</t>
        </is>
      </c>
      <c r="C489" s="70" t="inlineStr">
        <is>
          <t>Imunexal Symposium Brussels Jun 2025</t>
        </is>
      </c>
      <c r="D489" s="70" t="inlineStr">
        <is>
          <t>Immunology</t>
        </is>
      </c>
      <c r="E489" s="70" t="inlineStr">
        <is>
          <t>BU Immunology</t>
        </is>
      </c>
      <c r="F489" s="71" t="inlineStr">
        <is>
          <t>F&amp;B</t>
        </is>
      </c>
      <c r="G489" s="71" t="inlineStr">
        <is>
          <t>Jun-2025</t>
        </is>
      </c>
      <c r="H489" s="71" t="inlineStr">
        <is>
          <t>Q2 2025</t>
        </is>
      </c>
      <c r="I489" s="73" t="n">
        <v>12526.74</v>
      </c>
      <c r="J489" s="73" t="n">
        <v>9859.290000000001</v>
      </c>
      <c r="K489" s="73" t="n">
        <v>0</v>
      </c>
      <c r="L489" s="80" t="n">
        <v>2667.45</v>
      </c>
      <c r="M489" s="78" t="n">
        <v>0.2129</v>
      </c>
      <c r="N489" s="107" t="n">
        <v>0.7870595222699602</v>
      </c>
      <c r="O489" s="108" t="inlineStr">
        <is>
          <t>Under</t>
        </is>
      </c>
      <c r="P489" s="69" t="inlineStr">
        <is>
          <t>On Track</t>
        </is>
      </c>
    </row>
    <row r="490" ht="16" customHeight="1">
      <c r="A490" s="98" t="inlineStr">
        <is>
          <t>CC-00489</t>
        </is>
      </c>
      <c r="B490" s="99" t="inlineStr">
        <is>
          <t>EVT-2025-045</t>
        </is>
      </c>
      <c r="C490" s="100" t="inlineStr">
        <is>
          <t>Imunexal Symposium Brussels Jun 2025</t>
        </is>
      </c>
      <c r="D490" s="100" t="inlineStr">
        <is>
          <t>Immunology</t>
        </is>
      </c>
      <c r="E490" s="100" t="inlineStr">
        <is>
          <t>BU Immunology</t>
        </is>
      </c>
      <c r="F490" s="99" t="inlineStr">
        <is>
          <t>Logistics</t>
        </is>
      </c>
      <c r="G490" s="99" t="inlineStr">
        <is>
          <t>Jun-2025</t>
        </is>
      </c>
      <c r="H490" s="99" t="inlineStr">
        <is>
          <t>Q2 2025</t>
        </is>
      </c>
      <c r="I490" s="101" t="n">
        <v>6263.37</v>
      </c>
      <c r="J490" s="101" t="n">
        <v>5208.19</v>
      </c>
      <c r="K490" s="101" t="n">
        <v>0</v>
      </c>
      <c r="L490" s="102" t="n">
        <v>1055.18</v>
      </c>
      <c r="M490" s="103" t="n">
        <v>0.1685</v>
      </c>
      <c r="N490" s="104" t="n">
        <v>0.8315315876277467</v>
      </c>
      <c r="O490" s="105" t="inlineStr">
        <is>
          <t>Under</t>
        </is>
      </c>
      <c r="P490" s="69" t="inlineStr">
        <is>
          <t>On Track</t>
        </is>
      </c>
    </row>
    <row r="491" ht="16" customHeight="1">
      <c r="A491" s="106" t="inlineStr">
        <is>
          <t>CC-00490</t>
        </is>
      </c>
      <c r="B491" s="71" t="inlineStr">
        <is>
          <t>EVT-2025-045</t>
        </is>
      </c>
      <c r="C491" s="70" t="inlineStr">
        <is>
          <t>Imunexal Symposium Brussels Jun 2025</t>
        </is>
      </c>
      <c r="D491" s="70" t="inlineStr">
        <is>
          <t>Immunology</t>
        </is>
      </c>
      <c r="E491" s="70" t="inlineStr">
        <is>
          <t>BU Immunology</t>
        </is>
      </c>
      <c r="F491" s="71" t="inlineStr">
        <is>
          <t>AV &amp; Technology</t>
        </is>
      </c>
      <c r="G491" s="71" t="inlineStr">
        <is>
          <t>Jun-2025</t>
        </is>
      </c>
      <c r="H491" s="71" t="inlineStr">
        <is>
          <t>Q2 2025</t>
        </is>
      </c>
      <c r="I491" s="73" t="n">
        <v>8351.16</v>
      </c>
      <c r="J491" s="73" t="n">
        <v>7848.23</v>
      </c>
      <c r="K491" s="73" t="n">
        <v>0</v>
      </c>
      <c r="L491" s="80" t="n">
        <v>502.93</v>
      </c>
      <c r="M491" s="78" t="n">
        <v>0.0602</v>
      </c>
      <c r="N491" s="107" t="n">
        <v>0.9397772285526801</v>
      </c>
      <c r="O491" s="108" t="inlineStr">
        <is>
          <t>Under</t>
        </is>
      </c>
      <c r="P491" s="69" t="inlineStr">
        <is>
          <t>On Track</t>
        </is>
      </c>
    </row>
    <row r="492" ht="16" customHeight="1">
      <c r="A492" s="98" t="inlineStr">
        <is>
          <t>CC-00491</t>
        </is>
      </c>
      <c r="B492" s="99" t="inlineStr">
        <is>
          <t>EVT-2025-045</t>
        </is>
      </c>
      <c r="C492" s="100" t="inlineStr">
        <is>
          <t>Imunexal Symposium Brussels Jun 2025</t>
        </is>
      </c>
      <c r="D492" s="100" t="inlineStr">
        <is>
          <t>Immunology</t>
        </is>
      </c>
      <c r="E492" s="100" t="inlineStr">
        <is>
          <t>BU Immunology</t>
        </is>
      </c>
      <c r="F492" s="99" t="inlineStr">
        <is>
          <t>Agency Fees</t>
        </is>
      </c>
      <c r="G492" s="99" t="inlineStr">
        <is>
          <t>Jun-2025</t>
        </is>
      </c>
      <c r="H492" s="99" t="inlineStr">
        <is>
          <t>Q2 2025</t>
        </is>
      </c>
      <c r="I492" s="101" t="n">
        <v>14614.53</v>
      </c>
      <c r="J492" s="101" t="n">
        <v>13813.93</v>
      </c>
      <c r="K492" s="101" t="n">
        <v>0</v>
      </c>
      <c r="L492" s="102" t="n">
        <v>800.6</v>
      </c>
      <c r="M492" s="103" t="n">
        <v>0.0548</v>
      </c>
      <c r="N492" s="104" t="n">
        <v>0.9452189020105334</v>
      </c>
      <c r="O492" s="105" t="inlineStr">
        <is>
          <t>Under</t>
        </is>
      </c>
      <c r="P492" s="69" t="inlineStr">
        <is>
          <t>On Track</t>
        </is>
      </c>
    </row>
    <row r="493" ht="16" customHeight="1">
      <c r="A493" s="106" t="inlineStr">
        <is>
          <t>CC-00492</t>
        </is>
      </c>
      <c r="B493" s="71" t="inlineStr">
        <is>
          <t>EVT-2025-045</t>
        </is>
      </c>
      <c r="C493" s="70" t="inlineStr">
        <is>
          <t>Imunexal Symposium Brussels Jun 2025</t>
        </is>
      </c>
      <c r="D493" s="70" t="inlineStr">
        <is>
          <t>Immunology</t>
        </is>
      </c>
      <c r="E493" s="70" t="inlineStr">
        <is>
          <t>BU Immunology</t>
        </is>
      </c>
      <c r="F493" s="71" t="inlineStr">
        <is>
          <t>Speaker Fees</t>
        </is>
      </c>
      <c r="G493" s="71" t="inlineStr">
        <is>
          <t>Jun-2025</t>
        </is>
      </c>
      <c r="H493" s="71" t="inlineStr">
        <is>
          <t>Q2 2025</t>
        </is>
      </c>
      <c r="I493" s="73" t="n">
        <v>10438.95</v>
      </c>
      <c r="J493" s="73" t="n">
        <v>7050.18</v>
      </c>
      <c r="K493" s="73" t="n">
        <v>0</v>
      </c>
      <c r="L493" s="80" t="n">
        <v>3388.77</v>
      </c>
      <c r="M493" s="78" t="n">
        <v>0.3246</v>
      </c>
      <c r="N493" s="107" t="n">
        <v>0.6753725230985875</v>
      </c>
      <c r="O493" s="108" t="inlineStr">
        <is>
          <t>Under</t>
        </is>
      </c>
      <c r="P493" s="69" t="inlineStr">
        <is>
          <t>On Track</t>
        </is>
      </c>
    </row>
    <row r="494" ht="16" customHeight="1">
      <c r="A494" s="98" t="inlineStr">
        <is>
          <t>CC-00493</t>
        </is>
      </c>
      <c r="B494" s="99" t="inlineStr">
        <is>
          <t>EVT-2025-045</t>
        </is>
      </c>
      <c r="C494" s="100" t="inlineStr">
        <is>
          <t>Imunexal Symposium Brussels Jun 2025</t>
        </is>
      </c>
      <c r="D494" s="100" t="inlineStr">
        <is>
          <t>Immunology</t>
        </is>
      </c>
      <c r="E494" s="100" t="inlineStr">
        <is>
          <t>BU Immunology</t>
        </is>
      </c>
      <c r="F494" s="99" t="inlineStr">
        <is>
          <t>Translation</t>
        </is>
      </c>
      <c r="G494" s="99" t="inlineStr">
        <is>
          <t>Jun-2025</t>
        </is>
      </c>
      <c r="H494" s="99" t="inlineStr">
        <is>
          <t>Q2 2025</t>
        </is>
      </c>
      <c r="I494" s="101" t="n">
        <v>3131.69</v>
      </c>
      <c r="J494" s="101" t="n">
        <v>3441.26</v>
      </c>
      <c r="K494" s="101" t="n">
        <v>0</v>
      </c>
      <c r="L494" s="109" t="n">
        <v>-309.57</v>
      </c>
      <c r="M494" s="110" t="n">
        <v>-0.0989</v>
      </c>
      <c r="N494" s="104" t="n">
        <v>1.098850780249642</v>
      </c>
      <c r="O494" s="111" t="inlineStr">
        <is>
          <t>Over</t>
        </is>
      </c>
      <c r="P494" s="76" t="inlineStr">
        <is>
          <t>Watch</t>
        </is>
      </c>
    </row>
    <row r="495" ht="16" customHeight="1">
      <c r="A495" s="106" t="inlineStr">
        <is>
          <t>CC-00494</t>
        </is>
      </c>
      <c r="B495" s="71" t="inlineStr">
        <is>
          <t>EVT-2025-045</t>
        </is>
      </c>
      <c r="C495" s="70" t="inlineStr">
        <is>
          <t>Imunexal Symposium Brussels Jun 2025</t>
        </is>
      </c>
      <c r="D495" s="70" t="inlineStr">
        <is>
          <t>Immunology</t>
        </is>
      </c>
      <c r="E495" s="70" t="inlineStr">
        <is>
          <t>BU Immunology</t>
        </is>
      </c>
      <c r="F495" s="71" t="inlineStr">
        <is>
          <t>Print &amp; Production</t>
        </is>
      </c>
      <c r="G495" s="71" t="inlineStr">
        <is>
          <t>Jun-2025</t>
        </is>
      </c>
      <c r="H495" s="71" t="inlineStr">
        <is>
          <t>Q2 2025</t>
        </is>
      </c>
      <c r="I495" s="73" t="n">
        <v>2087.79</v>
      </c>
      <c r="J495" s="73" t="n">
        <v>1756.64</v>
      </c>
      <c r="K495" s="73" t="n">
        <v>0</v>
      </c>
      <c r="L495" s="80" t="n">
        <v>331.15</v>
      </c>
      <c r="M495" s="78" t="n">
        <v>0.1586</v>
      </c>
      <c r="N495" s="107" t="n">
        <v>0.8413873042786871</v>
      </c>
      <c r="O495" s="108" t="inlineStr">
        <is>
          <t>Under</t>
        </is>
      </c>
      <c r="P495" s="69" t="inlineStr">
        <is>
          <t>On Track</t>
        </is>
      </c>
    </row>
    <row r="496" ht="16" customHeight="1">
      <c r="A496" s="98" t="inlineStr">
        <is>
          <t>CC-00495</t>
        </is>
      </c>
      <c r="B496" s="99" t="inlineStr">
        <is>
          <t>EVT-2025-045</t>
        </is>
      </c>
      <c r="C496" s="100" t="inlineStr">
        <is>
          <t>Imunexal Symposium Brussels Jun 2025</t>
        </is>
      </c>
      <c r="D496" s="100" t="inlineStr">
        <is>
          <t>Immunology</t>
        </is>
      </c>
      <c r="E496" s="100" t="inlineStr">
        <is>
          <t>BU Immunology</t>
        </is>
      </c>
      <c r="F496" s="99" t="inlineStr">
        <is>
          <t>Miscellaneous</t>
        </is>
      </c>
      <c r="G496" s="99" t="inlineStr">
        <is>
          <t>Jun-2025</t>
        </is>
      </c>
      <c r="H496" s="99" t="inlineStr">
        <is>
          <t>Q2 2025</t>
        </is>
      </c>
      <c r="I496" s="101" t="n">
        <v>2087.79</v>
      </c>
      <c r="J496" s="101" t="n">
        <v>1561.07</v>
      </c>
      <c r="K496" s="101" t="n">
        <v>0</v>
      </c>
      <c r="L496" s="102" t="n">
        <v>526.72</v>
      </c>
      <c r="M496" s="103" t="n">
        <v>0.2523</v>
      </c>
      <c r="N496" s="104" t="n">
        <v>0.7477140900186321</v>
      </c>
      <c r="O496" s="105" t="inlineStr">
        <is>
          <t>Under</t>
        </is>
      </c>
      <c r="P496" s="69" t="inlineStr">
        <is>
          <t>On Track</t>
        </is>
      </c>
    </row>
    <row r="497" ht="16" customHeight="1">
      <c r="A497" s="106" t="inlineStr">
        <is>
          <t>CC-00496</t>
        </is>
      </c>
      <c r="B497" s="71" t="inlineStr">
        <is>
          <t>EVT-2025-046</t>
        </is>
      </c>
      <c r="C497" s="70" t="inlineStr">
        <is>
          <t>Vaccinade Advisory Board Zurich Jun 2025</t>
        </is>
      </c>
      <c r="D497" s="70" t="inlineStr">
        <is>
          <t>Infectious Diseases</t>
        </is>
      </c>
      <c r="E497" s="70" t="inlineStr">
        <is>
          <t>BU Infectious Diseases</t>
        </is>
      </c>
      <c r="F497" s="71" t="inlineStr">
        <is>
          <t>Airfare</t>
        </is>
      </c>
      <c r="G497" s="71" t="inlineStr">
        <is>
          <t>Jun-2025</t>
        </is>
      </c>
      <c r="H497" s="71" t="inlineStr">
        <is>
          <t>Q2 2025</t>
        </is>
      </c>
      <c r="I497" s="73" t="n">
        <v>18470.82</v>
      </c>
      <c r="J497" s="73" t="n">
        <v>19584.13</v>
      </c>
      <c r="K497" s="73" t="n">
        <v>14213.31</v>
      </c>
      <c r="L497" s="74" t="n">
        <v>-1113.31</v>
      </c>
      <c r="M497" s="75" t="n">
        <v>-0.0603</v>
      </c>
      <c r="N497" s="107" t="n">
        <v>1.060273988918738</v>
      </c>
      <c r="O497" s="112" t="inlineStr">
        <is>
          <t>Over</t>
        </is>
      </c>
      <c r="P497" s="76" t="inlineStr">
        <is>
          <t>Watch</t>
        </is>
      </c>
    </row>
    <row r="498" ht="16" customHeight="1">
      <c r="A498" s="98" t="inlineStr">
        <is>
          <t>CC-00497</t>
        </is>
      </c>
      <c r="B498" s="99" t="inlineStr">
        <is>
          <t>EVT-2025-046</t>
        </is>
      </c>
      <c r="C498" s="100" t="inlineStr">
        <is>
          <t>Vaccinade Advisory Board Zurich Jun 2025</t>
        </is>
      </c>
      <c r="D498" s="100" t="inlineStr">
        <is>
          <t>Infectious Diseases</t>
        </is>
      </c>
      <c r="E498" s="100" t="inlineStr">
        <is>
          <t>BU Infectious Diseases</t>
        </is>
      </c>
      <c r="F498" s="99" t="inlineStr">
        <is>
          <t>Hotel</t>
        </is>
      </c>
      <c r="G498" s="99" t="inlineStr">
        <is>
          <t>Jun-2025</t>
        </is>
      </c>
      <c r="H498" s="99" t="inlineStr">
        <is>
          <t>Q2 2025</t>
        </is>
      </c>
      <c r="I498" s="101" t="n">
        <v>33247.48</v>
      </c>
      <c r="J498" s="101" t="n">
        <v>33768.1</v>
      </c>
      <c r="K498" s="101" t="n">
        <v>31034.41</v>
      </c>
      <c r="L498" s="109" t="n">
        <v>-520.62</v>
      </c>
      <c r="M498" s="103" t="n">
        <v>-0.0157</v>
      </c>
      <c r="N498" s="104" t="n">
        <v>1.015658931143052</v>
      </c>
      <c r="O498" s="111" t="inlineStr">
        <is>
          <t>Over</t>
        </is>
      </c>
      <c r="P498" s="69" t="inlineStr">
        <is>
          <t>On Track</t>
        </is>
      </c>
    </row>
    <row r="499" ht="16" customHeight="1">
      <c r="A499" s="106" t="inlineStr">
        <is>
          <t>CC-00498</t>
        </is>
      </c>
      <c r="B499" s="71" t="inlineStr">
        <is>
          <t>EVT-2025-046</t>
        </is>
      </c>
      <c r="C499" s="70" t="inlineStr">
        <is>
          <t>Vaccinade Advisory Board Zurich Jun 2025</t>
        </is>
      </c>
      <c r="D499" s="70" t="inlineStr">
        <is>
          <t>Infectious Diseases</t>
        </is>
      </c>
      <c r="E499" s="70" t="inlineStr">
        <is>
          <t>BU Infectious Diseases</t>
        </is>
      </c>
      <c r="F499" s="71" t="inlineStr">
        <is>
          <t>Venue</t>
        </is>
      </c>
      <c r="G499" s="71" t="inlineStr">
        <is>
          <t>Jun-2025</t>
        </is>
      </c>
      <c r="H499" s="71" t="inlineStr">
        <is>
          <t>Q2 2025</t>
        </is>
      </c>
      <c r="I499" s="73" t="n">
        <v>27706.24</v>
      </c>
      <c r="J499" s="73" t="n">
        <v>21449.18</v>
      </c>
      <c r="K499" s="73" t="n">
        <v>17221.98</v>
      </c>
      <c r="L499" s="80" t="n">
        <v>6257.06</v>
      </c>
      <c r="M499" s="78" t="n">
        <v>0.2258</v>
      </c>
      <c r="N499" s="107" t="n">
        <v>0.7741642315954818</v>
      </c>
      <c r="O499" s="108" t="inlineStr">
        <is>
          <t>Under</t>
        </is>
      </c>
      <c r="P499" s="69" t="inlineStr">
        <is>
          <t>On Track</t>
        </is>
      </c>
    </row>
    <row r="500" ht="16" customHeight="1">
      <c r="A500" s="98" t="inlineStr">
        <is>
          <t>CC-00499</t>
        </is>
      </c>
      <c r="B500" s="99" t="inlineStr">
        <is>
          <t>EVT-2025-046</t>
        </is>
      </c>
      <c r="C500" s="100" t="inlineStr">
        <is>
          <t>Vaccinade Advisory Board Zurich Jun 2025</t>
        </is>
      </c>
      <c r="D500" s="100" t="inlineStr">
        <is>
          <t>Infectious Diseases</t>
        </is>
      </c>
      <c r="E500" s="100" t="inlineStr">
        <is>
          <t>BU Infectious Diseases</t>
        </is>
      </c>
      <c r="F500" s="99" t="inlineStr">
        <is>
          <t>F&amp;B</t>
        </is>
      </c>
      <c r="G500" s="99" t="inlineStr">
        <is>
          <t>Jun-2025</t>
        </is>
      </c>
      <c r="H500" s="99" t="inlineStr">
        <is>
          <t>Q2 2025</t>
        </is>
      </c>
      <c r="I500" s="101" t="n">
        <v>22164.99</v>
      </c>
      <c r="J500" s="101" t="n">
        <v>21990.66</v>
      </c>
      <c r="K500" s="101" t="n">
        <v>18831.36</v>
      </c>
      <c r="L500" s="102" t="n">
        <v>174.33</v>
      </c>
      <c r="M500" s="103" t="n">
        <v>0.007900000000000001</v>
      </c>
      <c r="N500" s="104" t="n">
        <v>0.9921348938122687</v>
      </c>
      <c r="O500" s="105" t="inlineStr">
        <is>
          <t>Under</t>
        </is>
      </c>
      <c r="P500" s="69" t="inlineStr">
        <is>
          <t>On Track</t>
        </is>
      </c>
    </row>
    <row r="501" ht="16" customHeight="1">
      <c r="A501" s="106" t="inlineStr">
        <is>
          <t>CC-00500</t>
        </is>
      </c>
      <c r="B501" s="71" t="inlineStr">
        <is>
          <t>EVT-2025-046</t>
        </is>
      </c>
      <c r="C501" s="70" t="inlineStr">
        <is>
          <t>Vaccinade Advisory Board Zurich Jun 2025</t>
        </is>
      </c>
      <c r="D501" s="70" t="inlineStr">
        <is>
          <t>Infectious Diseases</t>
        </is>
      </c>
      <c r="E501" s="70" t="inlineStr">
        <is>
          <t>BU Infectious Diseases</t>
        </is>
      </c>
      <c r="F501" s="71" t="inlineStr">
        <is>
          <t>Logistics</t>
        </is>
      </c>
      <c r="G501" s="71" t="inlineStr">
        <is>
          <t>Jun-2025</t>
        </is>
      </c>
      <c r="H501" s="71" t="inlineStr">
        <is>
          <t>Q2 2025</t>
        </is>
      </c>
      <c r="I501" s="73" t="n">
        <v>11082.49</v>
      </c>
      <c r="J501" s="73" t="n">
        <v>8579.51</v>
      </c>
      <c r="K501" s="73" t="n">
        <v>6256.92</v>
      </c>
      <c r="L501" s="80" t="n">
        <v>2502.98</v>
      </c>
      <c r="M501" s="78" t="n">
        <v>0.2258</v>
      </c>
      <c r="N501" s="107" t="n">
        <v>0.7741500330701855</v>
      </c>
      <c r="O501" s="108" t="inlineStr">
        <is>
          <t>Under</t>
        </is>
      </c>
      <c r="P501" s="69" t="inlineStr">
        <is>
          <t>On Track</t>
        </is>
      </c>
    </row>
    <row r="502" ht="16" customHeight="1">
      <c r="A502" s="98" t="inlineStr">
        <is>
          <t>CC-00501</t>
        </is>
      </c>
      <c r="B502" s="99" t="inlineStr">
        <is>
          <t>EVT-2025-046</t>
        </is>
      </c>
      <c r="C502" s="100" t="inlineStr">
        <is>
          <t>Vaccinade Advisory Board Zurich Jun 2025</t>
        </is>
      </c>
      <c r="D502" s="100" t="inlineStr">
        <is>
          <t>Infectious Diseases</t>
        </is>
      </c>
      <c r="E502" s="100" t="inlineStr">
        <is>
          <t>BU Infectious Diseases</t>
        </is>
      </c>
      <c r="F502" s="99" t="inlineStr">
        <is>
          <t>AV &amp; Technology</t>
        </is>
      </c>
      <c r="G502" s="99" t="inlineStr">
        <is>
          <t>Jun-2025</t>
        </is>
      </c>
      <c r="H502" s="99" t="inlineStr">
        <is>
          <t>Q2 2025</t>
        </is>
      </c>
      <c r="I502" s="101" t="n">
        <v>14776.66</v>
      </c>
      <c r="J502" s="101" t="n">
        <v>14200.33</v>
      </c>
      <c r="K502" s="101" t="n">
        <v>11867.7</v>
      </c>
      <c r="L502" s="102" t="n">
        <v>576.33</v>
      </c>
      <c r="M502" s="103" t="n">
        <v>0.039</v>
      </c>
      <c r="N502" s="104" t="n">
        <v>0.9609972754330139</v>
      </c>
      <c r="O502" s="105" t="inlineStr">
        <is>
          <t>Under</t>
        </is>
      </c>
      <c r="P502" s="69" t="inlineStr">
        <is>
          <t>On Track</t>
        </is>
      </c>
    </row>
    <row r="503" ht="16" customHeight="1">
      <c r="A503" s="106" t="inlineStr">
        <is>
          <t>CC-00502</t>
        </is>
      </c>
      <c r="B503" s="71" t="inlineStr">
        <is>
          <t>EVT-2025-046</t>
        </is>
      </c>
      <c r="C503" s="70" t="inlineStr">
        <is>
          <t>Vaccinade Advisory Board Zurich Jun 2025</t>
        </is>
      </c>
      <c r="D503" s="70" t="inlineStr">
        <is>
          <t>Infectious Diseases</t>
        </is>
      </c>
      <c r="E503" s="70" t="inlineStr">
        <is>
          <t>BU Infectious Diseases</t>
        </is>
      </c>
      <c r="F503" s="71" t="inlineStr">
        <is>
          <t>Agency Fees</t>
        </is>
      </c>
      <c r="G503" s="71" t="inlineStr">
        <is>
          <t>Jun-2025</t>
        </is>
      </c>
      <c r="H503" s="71" t="inlineStr">
        <is>
          <t>Q2 2025</t>
        </is>
      </c>
      <c r="I503" s="73" t="n">
        <v>25859.15</v>
      </c>
      <c r="J503" s="73" t="n">
        <v>16384.03</v>
      </c>
      <c r="K503" s="73" t="n">
        <v>11688.45</v>
      </c>
      <c r="L503" s="80" t="n">
        <v>9475.120000000001</v>
      </c>
      <c r="M503" s="78" t="n">
        <v>0.3664</v>
      </c>
      <c r="N503" s="107" t="n">
        <v>0.633587337557499</v>
      </c>
      <c r="O503" s="108" t="inlineStr">
        <is>
          <t>Under</t>
        </is>
      </c>
      <c r="P503" s="69" t="inlineStr">
        <is>
          <t>On Track</t>
        </is>
      </c>
    </row>
    <row r="504" ht="16" customHeight="1">
      <c r="A504" s="98" t="inlineStr">
        <is>
          <t>CC-00503</t>
        </is>
      </c>
      <c r="B504" s="99" t="inlineStr">
        <is>
          <t>EVT-2025-046</t>
        </is>
      </c>
      <c r="C504" s="100" t="inlineStr">
        <is>
          <t>Vaccinade Advisory Board Zurich Jun 2025</t>
        </is>
      </c>
      <c r="D504" s="100" t="inlineStr">
        <is>
          <t>Infectious Diseases</t>
        </is>
      </c>
      <c r="E504" s="100" t="inlineStr">
        <is>
          <t>BU Infectious Diseases</t>
        </is>
      </c>
      <c r="F504" s="99" t="inlineStr">
        <is>
          <t>Speaker Fees</t>
        </is>
      </c>
      <c r="G504" s="99" t="inlineStr">
        <is>
          <t>Jun-2025</t>
        </is>
      </c>
      <c r="H504" s="99" t="inlineStr">
        <is>
          <t>Q2 2025</t>
        </is>
      </c>
      <c r="I504" s="101" t="n">
        <v>18470.82</v>
      </c>
      <c r="J504" s="101" t="n">
        <v>17646.83</v>
      </c>
      <c r="K504" s="101" t="n">
        <v>12472.35</v>
      </c>
      <c r="L504" s="102" t="n">
        <v>823.99</v>
      </c>
      <c r="M504" s="103" t="n">
        <v>0.0446</v>
      </c>
      <c r="N504" s="104" t="n">
        <v>0.9553896361937371</v>
      </c>
      <c r="O504" s="105" t="inlineStr">
        <is>
          <t>Under</t>
        </is>
      </c>
      <c r="P504" s="69" t="inlineStr">
        <is>
          <t>On Track</t>
        </is>
      </c>
    </row>
    <row r="505" ht="16" customHeight="1">
      <c r="A505" s="106" t="inlineStr">
        <is>
          <t>CC-00504</t>
        </is>
      </c>
      <c r="B505" s="71" t="inlineStr">
        <is>
          <t>EVT-2025-046</t>
        </is>
      </c>
      <c r="C505" s="70" t="inlineStr">
        <is>
          <t>Vaccinade Advisory Board Zurich Jun 2025</t>
        </is>
      </c>
      <c r="D505" s="70" t="inlineStr">
        <is>
          <t>Infectious Diseases</t>
        </is>
      </c>
      <c r="E505" s="70" t="inlineStr">
        <is>
          <t>BU Infectious Diseases</t>
        </is>
      </c>
      <c r="F505" s="71" t="inlineStr">
        <is>
          <t>Translation</t>
        </is>
      </c>
      <c r="G505" s="71" t="inlineStr">
        <is>
          <t>Jun-2025</t>
        </is>
      </c>
      <c r="H505" s="71" t="inlineStr">
        <is>
          <t>Q2 2025</t>
        </is>
      </c>
      <c r="I505" s="73" t="n">
        <v>5541.25</v>
      </c>
      <c r="J505" s="73" t="n">
        <v>4275.29</v>
      </c>
      <c r="K505" s="73" t="n">
        <v>3132.97</v>
      </c>
      <c r="L505" s="80" t="n">
        <v>1265.96</v>
      </c>
      <c r="M505" s="78" t="n">
        <v>0.2285</v>
      </c>
      <c r="N505" s="107" t="n">
        <v>0.771538912700203</v>
      </c>
      <c r="O505" s="108" t="inlineStr">
        <is>
          <t>Under</t>
        </is>
      </c>
      <c r="P505" s="69" t="inlineStr">
        <is>
          <t>On Track</t>
        </is>
      </c>
    </row>
    <row r="506" ht="16" customHeight="1">
      <c r="A506" s="98" t="inlineStr">
        <is>
          <t>CC-00505</t>
        </is>
      </c>
      <c r="B506" s="99" t="inlineStr">
        <is>
          <t>EVT-2025-046</t>
        </is>
      </c>
      <c r="C506" s="100" t="inlineStr">
        <is>
          <t>Vaccinade Advisory Board Zurich Jun 2025</t>
        </is>
      </c>
      <c r="D506" s="100" t="inlineStr">
        <is>
          <t>Infectious Diseases</t>
        </is>
      </c>
      <c r="E506" s="100" t="inlineStr">
        <is>
          <t>BU Infectious Diseases</t>
        </is>
      </c>
      <c r="F506" s="99" t="inlineStr">
        <is>
          <t>Print &amp; Production</t>
        </is>
      </c>
      <c r="G506" s="99" t="inlineStr">
        <is>
          <t>Jun-2025</t>
        </is>
      </c>
      <c r="H506" s="99" t="inlineStr">
        <is>
          <t>Q2 2025</t>
        </is>
      </c>
      <c r="I506" s="101" t="n">
        <v>3694.16</v>
      </c>
      <c r="J506" s="101" t="n">
        <v>3694.25</v>
      </c>
      <c r="K506" s="101" t="n">
        <v>3616.58</v>
      </c>
      <c r="L506" s="109" t="n">
        <v>-0.09</v>
      </c>
      <c r="M506" s="103" t="n">
        <v>-0</v>
      </c>
      <c r="N506" s="104" t="n">
        <v>1.000024362778006</v>
      </c>
      <c r="O506" s="111" t="inlineStr">
        <is>
          <t>Over</t>
        </is>
      </c>
      <c r="P506" s="69" t="inlineStr">
        <is>
          <t>On Track</t>
        </is>
      </c>
    </row>
    <row r="507" ht="16" customHeight="1">
      <c r="A507" s="106" t="inlineStr">
        <is>
          <t>CC-00506</t>
        </is>
      </c>
      <c r="B507" s="71" t="inlineStr">
        <is>
          <t>EVT-2025-046</t>
        </is>
      </c>
      <c r="C507" s="70" t="inlineStr">
        <is>
          <t>Vaccinade Advisory Board Zurich Jun 2025</t>
        </is>
      </c>
      <c r="D507" s="70" t="inlineStr">
        <is>
          <t>Infectious Diseases</t>
        </is>
      </c>
      <c r="E507" s="70" t="inlineStr">
        <is>
          <t>BU Infectious Diseases</t>
        </is>
      </c>
      <c r="F507" s="71" t="inlineStr">
        <is>
          <t>Miscellaneous</t>
        </is>
      </c>
      <c r="G507" s="71" t="inlineStr">
        <is>
          <t>Jun-2025</t>
        </is>
      </c>
      <c r="H507" s="71" t="inlineStr">
        <is>
          <t>Q2 2025</t>
        </is>
      </c>
      <c r="I507" s="73" t="n">
        <v>3694.16</v>
      </c>
      <c r="J507" s="73" t="n">
        <v>3584.24</v>
      </c>
      <c r="K507" s="73" t="n">
        <v>3063.8</v>
      </c>
      <c r="L507" s="80" t="n">
        <v>109.92</v>
      </c>
      <c r="M507" s="78" t="n">
        <v>0.0298</v>
      </c>
      <c r="N507" s="107" t="n">
        <v>0.970244927128224</v>
      </c>
      <c r="O507" s="108" t="inlineStr">
        <is>
          <t>Under</t>
        </is>
      </c>
      <c r="P507" s="69" t="inlineStr">
        <is>
          <t>On Track</t>
        </is>
      </c>
    </row>
    <row r="508" ht="16" customHeight="1">
      <c r="A508" s="98" t="inlineStr">
        <is>
          <t>CC-00507</t>
        </is>
      </c>
      <c r="B508" s="99" t="inlineStr">
        <is>
          <t>EVT-2025-047</t>
        </is>
      </c>
      <c r="C508" s="100" t="inlineStr">
        <is>
          <t>Nexolimab Internal Meeting Milan Oct 2025</t>
        </is>
      </c>
      <c r="D508" s="100" t="inlineStr">
        <is>
          <t>Oncology</t>
        </is>
      </c>
      <c r="E508" s="100" t="inlineStr">
        <is>
          <t>BU Oncology</t>
        </is>
      </c>
      <c r="F508" s="99" t="inlineStr">
        <is>
          <t>Airfare</t>
        </is>
      </c>
      <c r="G508" s="99" t="inlineStr">
        <is>
          <t>Oct-2025</t>
        </is>
      </c>
      <c r="H508" s="99" t="inlineStr">
        <is>
          <t>Q4 2025</t>
        </is>
      </c>
      <c r="I508" s="101" t="n">
        <v>25150.59</v>
      </c>
      <c r="J508" s="101" t="n">
        <v>22030.79</v>
      </c>
      <c r="K508" s="101" t="n">
        <v>0</v>
      </c>
      <c r="L508" s="102" t="n">
        <v>3119.8</v>
      </c>
      <c r="M508" s="103" t="n">
        <v>0.124</v>
      </c>
      <c r="N508" s="104" t="n">
        <v>0.8759551962796897</v>
      </c>
      <c r="O508" s="105" t="inlineStr">
        <is>
          <t>Under</t>
        </is>
      </c>
      <c r="P508" s="69" t="inlineStr">
        <is>
          <t>On Track</t>
        </is>
      </c>
    </row>
    <row r="509" ht="16" customHeight="1">
      <c r="A509" s="106" t="inlineStr">
        <is>
          <t>CC-00508</t>
        </is>
      </c>
      <c r="B509" s="71" t="inlineStr">
        <is>
          <t>EVT-2025-047</t>
        </is>
      </c>
      <c r="C509" s="70" t="inlineStr">
        <is>
          <t>Nexolimab Internal Meeting Milan Oct 2025</t>
        </is>
      </c>
      <c r="D509" s="70" t="inlineStr">
        <is>
          <t>Oncology</t>
        </is>
      </c>
      <c r="E509" s="70" t="inlineStr">
        <is>
          <t>BU Oncology</t>
        </is>
      </c>
      <c r="F509" s="71" t="inlineStr">
        <is>
          <t>Hotel</t>
        </is>
      </c>
      <c r="G509" s="71" t="inlineStr">
        <is>
          <t>Oct-2025</t>
        </is>
      </c>
      <c r="H509" s="71" t="inlineStr">
        <is>
          <t>Q4 2025</t>
        </is>
      </c>
      <c r="I509" s="73" t="n">
        <v>45271.05</v>
      </c>
      <c r="J509" s="73" t="n">
        <v>34654.75</v>
      </c>
      <c r="K509" s="73" t="n">
        <v>0</v>
      </c>
      <c r="L509" s="80" t="n">
        <v>10616.3</v>
      </c>
      <c r="M509" s="78" t="n">
        <v>0.2345</v>
      </c>
      <c r="N509" s="107" t="n">
        <v>0.7654947256580088</v>
      </c>
      <c r="O509" s="108" t="inlineStr">
        <is>
          <t>Under</t>
        </is>
      </c>
      <c r="P509" s="69" t="inlineStr">
        <is>
          <t>On Track</t>
        </is>
      </c>
    </row>
    <row r="510" ht="16" customHeight="1">
      <c r="A510" s="98" t="inlineStr">
        <is>
          <t>CC-00509</t>
        </is>
      </c>
      <c r="B510" s="99" t="inlineStr">
        <is>
          <t>EVT-2025-047</t>
        </is>
      </c>
      <c r="C510" s="100" t="inlineStr">
        <is>
          <t>Nexolimab Internal Meeting Milan Oct 2025</t>
        </is>
      </c>
      <c r="D510" s="100" t="inlineStr">
        <is>
          <t>Oncology</t>
        </is>
      </c>
      <c r="E510" s="100" t="inlineStr">
        <is>
          <t>BU Oncology</t>
        </is>
      </c>
      <c r="F510" s="99" t="inlineStr">
        <is>
          <t>Venue</t>
        </is>
      </c>
      <c r="G510" s="99" t="inlineStr">
        <is>
          <t>Oct-2025</t>
        </is>
      </c>
      <c r="H510" s="99" t="inlineStr">
        <is>
          <t>Q4 2025</t>
        </is>
      </c>
      <c r="I510" s="101" t="n">
        <v>37725.88</v>
      </c>
      <c r="J510" s="101" t="n">
        <v>30678.11</v>
      </c>
      <c r="K510" s="101" t="n">
        <v>0</v>
      </c>
      <c r="L510" s="102" t="n">
        <v>7047.77</v>
      </c>
      <c r="M510" s="103" t="n">
        <v>0.1868</v>
      </c>
      <c r="N510" s="104" t="n">
        <v>0.81318474214518</v>
      </c>
      <c r="O510" s="105" t="inlineStr">
        <is>
          <t>Under</t>
        </is>
      </c>
      <c r="P510" s="69" t="inlineStr">
        <is>
          <t>On Track</t>
        </is>
      </c>
    </row>
    <row r="511" ht="16" customHeight="1">
      <c r="A511" s="106" t="inlineStr">
        <is>
          <t>CC-00510</t>
        </is>
      </c>
      <c r="B511" s="71" t="inlineStr">
        <is>
          <t>EVT-2025-047</t>
        </is>
      </c>
      <c r="C511" s="70" t="inlineStr">
        <is>
          <t>Nexolimab Internal Meeting Milan Oct 2025</t>
        </is>
      </c>
      <c r="D511" s="70" t="inlineStr">
        <is>
          <t>Oncology</t>
        </is>
      </c>
      <c r="E511" s="70" t="inlineStr">
        <is>
          <t>BU Oncology</t>
        </is>
      </c>
      <c r="F511" s="71" t="inlineStr">
        <is>
          <t>F&amp;B</t>
        </is>
      </c>
      <c r="G511" s="71" t="inlineStr">
        <is>
          <t>Oct-2025</t>
        </is>
      </c>
      <c r="H511" s="71" t="inlineStr">
        <is>
          <t>Q4 2025</t>
        </is>
      </c>
      <c r="I511" s="73" t="n">
        <v>30180.7</v>
      </c>
      <c r="J511" s="73" t="n">
        <v>25080.98</v>
      </c>
      <c r="K511" s="73" t="n">
        <v>0</v>
      </c>
      <c r="L511" s="80" t="n">
        <v>5099.72</v>
      </c>
      <c r="M511" s="78" t="n">
        <v>0.169</v>
      </c>
      <c r="N511" s="107" t="n">
        <v>0.8310271133538983</v>
      </c>
      <c r="O511" s="108" t="inlineStr">
        <is>
          <t>Under</t>
        </is>
      </c>
      <c r="P511" s="69" t="inlineStr">
        <is>
          <t>On Track</t>
        </is>
      </c>
    </row>
    <row r="512" ht="16" customHeight="1">
      <c r="A512" s="98" t="inlineStr">
        <is>
          <t>CC-00511</t>
        </is>
      </c>
      <c r="B512" s="99" t="inlineStr">
        <is>
          <t>EVT-2025-047</t>
        </is>
      </c>
      <c r="C512" s="100" t="inlineStr">
        <is>
          <t>Nexolimab Internal Meeting Milan Oct 2025</t>
        </is>
      </c>
      <c r="D512" s="100" t="inlineStr">
        <is>
          <t>Oncology</t>
        </is>
      </c>
      <c r="E512" s="100" t="inlineStr">
        <is>
          <t>BU Oncology</t>
        </is>
      </c>
      <c r="F512" s="99" t="inlineStr">
        <is>
          <t>Logistics</t>
        </is>
      </c>
      <c r="G512" s="99" t="inlineStr">
        <is>
          <t>Oct-2025</t>
        </is>
      </c>
      <c r="H512" s="99" t="inlineStr">
        <is>
          <t>Q4 2025</t>
        </is>
      </c>
      <c r="I512" s="101" t="n">
        <v>15090.35</v>
      </c>
      <c r="J512" s="101" t="n">
        <v>15073.42</v>
      </c>
      <c r="K512" s="101" t="n">
        <v>0</v>
      </c>
      <c r="L512" s="102" t="n">
        <v>16.93</v>
      </c>
      <c r="M512" s="103" t="n">
        <v>0.0011</v>
      </c>
      <c r="N512" s="104" t="n">
        <v>0.9988780909654182</v>
      </c>
      <c r="O512" s="105" t="inlineStr">
        <is>
          <t>Under</t>
        </is>
      </c>
      <c r="P512" s="69" t="inlineStr">
        <is>
          <t>On Track</t>
        </is>
      </c>
    </row>
    <row r="513" ht="16" customHeight="1">
      <c r="A513" s="106" t="inlineStr">
        <is>
          <t>CC-00512</t>
        </is>
      </c>
      <c r="B513" s="71" t="inlineStr">
        <is>
          <t>EVT-2025-047</t>
        </is>
      </c>
      <c r="C513" s="70" t="inlineStr">
        <is>
          <t>Nexolimab Internal Meeting Milan Oct 2025</t>
        </is>
      </c>
      <c r="D513" s="70" t="inlineStr">
        <is>
          <t>Oncology</t>
        </is>
      </c>
      <c r="E513" s="70" t="inlineStr">
        <is>
          <t>BU Oncology</t>
        </is>
      </c>
      <c r="F513" s="71" t="inlineStr">
        <is>
          <t>AV &amp; Technology</t>
        </is>
      </c>
      <c r="G513" s="71" t="inlineStr">
        <is>
          <t>Oct-2025</t>
        </is>
      </c>
      <c r="H513" s="71" t="inlineStr">
        <is>
          <t>Q4 2025</t>
        </is>
      </c>
      <c r="I513" s="73" t="n">
        <v>20120.47</v>
      </c>
      <c r="J513" s="73" t="n">
        <v>18407.82</v>
      </c>
      <c r="K513" s="73" t="n">
        <v>0</v>
      </c>
      <c r="L513" s="80" t="n">
        <v>1712.65</v>
      </c>
      <c r="M513" s="78" t="n">
        <v>0.0851</v>
      </c>
      <c r="N513" s="107" t="n">
        <v>0.9148802190008484</v>
      </c>
      <c r="O513" s="108" t="inlineStr">
        <is>
          <t>Under</t>
        </is>
      </c>
      <c r="P513" s="69" t="inlineStr">
        <is>
          <t>On Track</t>
        </is>
      </c>
    </row>
    <row r="514" ht="16" customHeight="1">
      <c r="A514" s="98" t="inlineStr">
        <is>
          <t>CC-00513</t>
        </is>
      </c>
      <c r="B514" s="99" t="inlineStr">
        <is>
          <t>EVT-2025-047</t>
        </is>
      </c>
      <c r="C514" s="100" t="inlineStr">
        <is>
          <t>Nexolimab Internal Meeting Milan Oct 2025</t>
        </is>
      </c>
      <c r="D514" s="100" t="inlineStr">
        <is>
          <t>Oncology</t>
        </is>
      </c>
      <c r="E514" s="100" t="inlineStr">
        <is>
          <t>BU Oncology</t>
        </is>
      </c>
      <c r="F514" s="99" t="inlineStr">
        <is>
          <t>Agency Fees</t>
        </is>
      </c>
      <c r="G514" s="99" t="inlineStr">
        <is>
          <t>Oct-2025</t>
        </is>
      </c>
      <c r="H514" s="99" t="inlineStr">
        <is>
          <t>Q4 2025</t>
        </is>
      </c>
      <c r="I514" s="101" t="n">
        <v>35210.82</v>
      </c>
      <c r="J514" s="101" t="n">
        <v>24407.91</v>
      </c>
      <c r="K514" s="101" t="n">
        <v>0</v>
      </c>
      <c r="L514" s="102" t="n">
        <v>10802.91</v>
      </c>
      <c r="M514" s="103" t="n">
        <v>0.3068</v>
      </c>
      <c r="N514" s="104" t="n">
        <v>0.6931934558752111</v>
      </c>
      <c r="O514" s="105" t="inlineStr">
        <is>
          <t>Under</t>
        </is>
      </c>
      <c r="P514" s="69" t="inlineStr">
        <is>
          <t>On Track</t>
        </is>
      </c>
    </row>
    <row r="515" ht="16" customHeight="1">
      <c r="A515" s="106" t="inlineStr">
        <is>
          <t>CC-00514</t>
        </is>
      </c>
      <c r="B515" s="71" t="inlineStr">
        <is>
          <t>EVT-2025-047</t>
        </is>
      </c>
      <c r="C515" s="70" t="inlineStr">
        <is>
          <t>Nexolimab Internal Meeting Milan Oct 2025</t>
        </is>
      </c>
      <c r="D515" s="70" t="inlineStr">
        <is>
          <t>Oncology</t>
        </is>
      </c>
      <c r="E515" s="70" t="inlineStr">
        <is>
          <t>BU Oncology</t>
        </is>
      </c>
      <c r="F515" s="71" t="inlineStr">
        <is>
          <t>Speaker Fees</t>
        </is>
      </c>
      <c r="G515" s="71" t="inlineStr">
        <is>
          <t>Oct-2025</t>
        </is>
      </c>
      <c r="H515" s="71" t="inlineStr">
        <is>
          <t>Q4 2025</t>
        </is>
      </c>
      <c r="I515" s="73" t="n">
        <v>25150.59</v>
      </c>
      <c r="J515" s="73" t="n">
        <v>23356.19</v>
      </c>
      <c r="K515" s="73" t="n">
        <v>0</v>
      </c>
      <c r="L515" s="80" t="n">
        <v>1794.4</v>
      </c>
      <c r="M515" s="78" t="n">
        <v>0.0713</v>
      </c>
      <c r="N515" s="107" t="n">
        <v>0.9286537612040114</v>
      </c>
      <c r="O515" s="108" t="inlineStr">
        <is>
          <t>Under</t>
        </is>
      </c>
      <c r="P515" s="69" t="inlineStr">
        <is>
          <t>On Track</t>
        </is>
      </c>
    </row>
    <row r="516" ht="16" customHeight="1">
      <c r="A516" s="98" t="inlineStr">
        <is>
          <t>CC-00515</t>
        </is>
      </c>
      <c r="B516" s="99" t="inlineStr">
        <is>
          <t>EVT-2025-047</t>
        </is>
      </c>
      <c r="C516" s="100" t="inlineStr">
        <is>
          <t>Nexolimab Internal Meeting Milan Oct 2025</t>
        </is>
      </c>
      <c r="D516" s="100" t="inlineStr">
        <is>
          <t>Oncology</t>
        </is>
      </c>
      <c r="E516" s="100" t="inlineStr">
        <is>
          <t>BU Oncology</t>
        </is>
      </c>
      <c r="F516" s="99" t="inlineStr">
        <is>
          <t>Translation</t>
        </is>
      </c>
      <c r="G516" s="99" t="inlineStr">
        <is>
          <t>Oct-2025</t>
        </is>
      </c>
      <c r="H516" s="99" t="inlineStr">
        <is>
          <t>Q4 2025</t>
        </is>
      </c>
      <c r="I516" s="101" t="n">
        <v>7545.18</v>
      </c>
      <c r="J516" s="101" t="n">
        <v>6019.48</v>
      </c>
      <c r="K516" s="101" t="n">
        <v>0</v>
      </c>
      <c r="L516" s="102" t="n">
        <v>1525.7</v>
      </c>
      <c r="M516" s="103" t="n">
        <v>0.2022</v>
      </c>
      <c r="N516" s="104" t="n">
        <v>0.7977914377125528</v>
      </c>
      <c r="O516" s="105" t="inlineStr">
        <is>
          <t>Under</t>
        </is>
      </c>
      <c r="P516" s="69" t="inlineStr">
        <is>
          <t>On Track</t>
        </is>
      </c>
    </row>
    <row r="517" ht="16" customHeight="1">
      <c r="A517" s="106" t="inlineStr">
        <is>
          <t>CC-00516</t>
        </is>
      </c>
      <c r="B517" s="71" t="inlineStr">
        <is>
          <t>EVT-2025-047</t>
        </is>
      </c>
      <c r="C517" s="70" t="inlineStr">
        <is>
          <t>Nexolimab Internal Meeting Milan Oct 2025</t>
        </is>
      </c>
      <c r="D517" s="70" t="inlineStr">
        <is>
          <t>Oncology</t>
        </is>
      </c>
      <c r="E517" s="70" t="inlineStr">
        <is>
          <t>BU Oncology</t>
        </is>
      </c>
      <c r="F517" s="71" t="inlineStr">
        <is>
          <t>Print &amp; Production</t>
        </is>
      </c>
      <c r="G517" s="71" t="inlineStr">
        <is>
          <t>Oct-2025</t>
        </is>
      </c>
      <c r="H517" s="71" t="inlineStr">
        <is>
          <t>Q4 2025</t>
        </is>
      </c>
      <c r="I517" s="73" t="n">
        <v>5030.12</v>
      </c>
      <c r="J517" s="73" t="n">
        <v>4872.65</v>
      </c>
      <c r="K517" s="73" t="n">
        <v>0</v>
      </c>
      <c r="L517" s="80" t="n">
        <v>157.47</v>
      </c>
      <c r="M517" s="78" t="n">
        <v>0.0313</v>
      </c>
      <c r="N517" s="107" t="n">
        <v>0.9686945838270259</v>
      </c>
      <c r="O517" s="108" t="inlineStr">
        <is>
          <t>Under</t>
        </is>
      </c>
      <c r="P517" s="69" t="inlineStr">
        <is>
          <t>On Track</t>
        </is>
      </c>
    </row>
    <row r="518" ht="16" customHeight="1">
      <c r="A518" s="98" t="inlineStr">
        <is>
          <t>CC-00517</t>
        </is>
      </c>
      <c r="B518" s="99" t="inlineStr">
        <is>
          <t>EVT-2025-047</t>
        </is>
      </c>
      <c r="C518" s="100" t="inlineStr">
        <is>
          <t>Nexolimab Internal Meeting Milan Oct 2025</t>
        </is>
      </c>
      <c r="D518" s="100" t="inlineStr">
        <is>
          <t>Oncology</t>
        </is>
      </c>
      <c r="E518" s="100" t="inlineStr">
        <is>
          <t>BU Oncology</t>
        </is>
      </c>
      <c r="F518" s="99" t="inlineStr">
        <is>
          <t>Miscellaneous</t>
        </is>
      </c>
      <c r="G518" s="99" t="inlineStr">
        <is>
          <t>Oct-2025</t>
        </is>
      </c>
      <c r="H518" s="99" t="inlineStr">
        <is>
          <t>Q4 2025</t>
        </is>
      </c>
      <c r="I518" s="101" t="n">
        <v>5030.12</v>
      </c>
      <c r="J518" s="101" t="n">
        <v>5239.11</v>
      </c>
      <c r="K518" s="101" t="n">
        <v>0</v>
      </c>
      <c r="L518" s="109" t="n">
        <v>-208.99</v>
      </c>
      <c r="M518" s="103" t="n">
        <v>-0.0415</v>
      </c>
      <c r="N518" s="104" t="n">
        <v>1.04154771655547</v>
      </c>
      <c r="O518" s="111" t="inlineStr">
        <is>
          <t>Over</t>
        </is>
      </c>
      <c r="P518" s="69" t="inlineStr">
        <is>
          <t>On Track</t>
        </is>
      </c>
    </row>
    <row r="519" ht="16" customHeight="1">
      <c r="A519" s="106" t="inlineStr">
        <is>
          <t>CC-00518</t>
        </is>
      </c>
      <c r="B519" s="71" t="inlineStr">
        <is>
          <t>EVT-2025-048</t>
        </is>
      </c>
      <c r="C519" s="70" t="inlineStr">
        <is>
          <t>Vaccinade Satellite Symposium Budapest Mar 2025</t>
        </is>
      </c>
      <c r="D519" s="70" t="inlineStr">
        <is>
          <t>Infectious Diseases</t>
        </is>
      </c>
      <c r="E519" s="70" t="inlineStr">
        <is>
          <t>BU Infectious Diseases</t>
        </is>
      </c>
      <c r="F519" s="71" t="inlineStr">
        <is>
          <t>Airfare</t>
        </is>
      </c>
      <c r="G519" s="71" t="inlineStr">
        <is>
          <t>Mar-2025</t>
        </is>
      </c>
      <c r="H519" s="71" t="inlineStr">
        <is>
          <t>Q1 2025</t>
        </is>
      </c>
      <c r="I519" s="73" t="n">
        <v>14106.66</v>
      </c>
      <c r="J519" s="73" t="n">
        <v>11635</v>
      </c>
      <c r="K519" s="73" t="n">
        <v>0</v>
      </c>
      <c r="L519" s="80" t="n">
        <v>2471.66</v>
      </c>
      <c r="M519" s="78" t="n">
        <v>0.1752</v>
      </c>
      <c r="N519" s="107" t="n">
        <v>0.8247877243798319</v>
      </c>
      <c r="O519" s="108" t="inlineStr">
        <is>
          <t>Under</t>
        </is>
      </c>
      <c r="P519" s="69" t="inlineStr">
        <is>
          <t>On Track</t>
        </is>
      </c>
    </row>
    <row r="520" ht="16" customHeight="1">
      <c r="A520" s="98" t="inlineStr">
        <is>
          <t>CC-00519</t>
        </is>
      </c>
      <c r="B520" s="99" t="inlineStr">
        <is>
          <t>EVT-2025-048</t>
        </is>
      </c>
      <c r="C520" s="100" t="inlineStr">
        <is>
          <t>Vaccinade Satellite Symposium Budapest Mar 2025</t>
        </is>
      </c>
      <c r="D520" s="100" t="inlineStr">
        <is>
          <t>Infectious Diseases</t>
        </is>
      </c>
      <c r="E520" s="100" t="inlineStr">
        <is>
          <t>BU Infectious Diseases</t>
        </is>
      </c>
      <c r="F520" s="99" t="inlineStr">
        <is>
          <t>Hotel</t>
        </is>
      </c>
      <c r="G520" s="99" t="inlineStr">
        <is>
          <t>Mar-2025</t>
        </is>
      </c>
      <c r="H520" s="99" t="inlineStr">
        <is>
          <t>Q1 2025</t>
        </is>
      </c>
      <c r="I520" s="101" t="n">
        <v>25391.99</v>
      </c>
      <c r="J520" s="101" t="n">
        <v>20688.79</v>
      </c>
      <c r="K520" s="101" t="n">
        <v>0</v>
      </c>
      <c r="L520" s="102" t="n">
        <v>4703.2</v>
      </c>
      <c r="M520" s="103" t="n">
        <v>0.1852</v>
      </c>
      <c r="N520" s="104" t="n">
        <v>0.8147762345527073</v>
      </c>
      <c r="O520" s="105" t="inlineStr">
        <is>
          <t>Under</t>
        </is>
      </c>
      <c r="P520" s="69" t="inlineStr">
        <is>
          <t>On Track</t>
        </is>
      </c>
    </row>
    <row r="521" ht="16" customHeight="1">
      <c r="A521" s="106" t="inlineStr">
        <is>
          <t>CC-00520</t>
        </is>
      </c>
      <c r="B521" s="71" t="inlineStr">
        <is>
          <t>EVT-2025-048</t>
        </is>
      </c>
      <c r="C521" s="70" t="inlineStr">
        <is>
          <t>Vaccinade Satellite Symposium Budapest Mar 2025</t>
        </is>
      </c>
      <c r="D521" s="70" t="inlineStr">
        <is>
          <t>Infectious Diseases</t>
        </is>
      </c>
      <c r="E521" s="70" t="inlineStr">
        <is>
          <t>BU Infectious Diseases</t>
        </is>
      </c>
      <c r="F521" s="71" t="inlineStr">
        <is>
          <t>Venue</t>
        </is>
      </c>
      <c r="G521" s="71" t="inlineStr">
        <is>
          <t>Mar-2025</t>
        </is>
      </c>
      <c r="H521" s="71" t="inlineStr">
        <is>
          <t>Q1 2025</t>
        </is>
      </c>
      <c r="I521" s="73" t="n">
        <v>21159.99</v>
      </c>
      <c r="J521" s="73" t="n">
        <v>12743.08</v>
      </c>
      <c r="K521" s="73" t="n">
        <v>0</v>
      </c>
      <c r="L521" s="80" t="n">
        <v>8416.91</v>
      </c>
      <c r="M521" s="78" t="n">
        <v>0.3978</v>
      </c>
      <c r="N521" s="107" t="n">
        <v>0.6022252373465204</v>
      </c>
      <c r="O521" s="108" t="inlineStr">
        <is>
          <t>Under</t>
        </is>
      </c>
      <c r="P521" s="69" t="inlineStr">
        <is>
          <t>On Track</t>
        </is>
      </c>
    </row>
    <row r="522" ht="16" customHeight="1">
      <c r="A522" s="98" t="inlineStr">
        <is>
          <t>CC-00521</t>
        </is>
      </c>
      <c r="B522" s="99" t="inlineStr">
        <is>
          <t>EVT-2025-048</t>
        </is>
      </c>
      <c r="C522" s="100" t="inlineStr">
        <is>
          <t>Vaccinade Satellite Symposium Budapest Mar 2025</t>
        </is>
      </c>
      <c r="D522" s="100" t="inlineStr">
        <is>
          <t>Infectious Diseases</t>
        </is>
      </c>
      <c r="E522" s="100" t="inlineStr">
        <is>
          <t>BU Infectious Diseases</t>
        </is>
      </c>
      <c r="F522" s="99" t="inlineStr">
        <is>
          <t>F&amp;B</t>
        </is>
      </c>
      <c r="G522" s="99" t="inlineStr">
        <is>
          <t>Mar-2025</t>
        </is>
      </c>
      <c r="H522" s="99" t="inlineStr">
        <is>
          <t>Q1 2025</t>
        </is>
      </c>
      <c r="I522" s="101" t="n">
        <v>16927.99</v>
      </c>
      <c r="J522" s="101" t="n">
        <v>11974.83</v>
      </c>
      <c r="K522" s="101" t="n">
        <v>0</v>
      </c>
      <c r="L522" s="102" t="n">
        <v>4953.16</v>
      </c>
      <c r="M522" s="103" t="n">
        <v>0.2926</v>
      </c>
      <c r="N522" s="104" t="n">
        <v>0.7073982203439392</v>
      </c>
      <c r="O522" s="105" t="inlineStr">
        <is>
          <t>Under</t>
        </is>
      </c>
      <c r="P522" s="69" t="inlineStr">
        <is>
          <t>On Track</t>
        </is>
      </c>
    </row>
    <row r="523" ht="16" customHeight="1">
      <c r="A523" s="106" t="inlineStr">
        <is>
          <t>CC-00522</t>
        </is>
      </c>
      <c r="B523" s="71" t="inlineStr">
        <is>
          <t>EVT-2025-048</t>
        </is>
      </c>
      <c r="C523" s="70" t="inlineStr">
        <is>
          <t>Vaccinade Satellite Symposium Budapest Mar 2025</t>
        </is>
      </c>
      <c r="D523" s="70" t="inlineStr">
        <is>
          <t>Infectious Diseases</t>
        </is>
      </c>
      <c r="E523" s="70" t="inlineStr">
        <is>
          <t>BU Infectious Diseases</t>
        </is>
      </c>
      <c r="F523" s="71" t="inlineStr">
        <is>
          <t>Logistics</t>
        </is>
      </c>
      <c r="G523" s="71" t="inlineStr">
        <is>
          <t>Mar-2025</t>
        </is>
      </c>
      <c r="H523" s="71" t="inlineStr">
        <is>
          <t>Q1 2025</t>
        </is>
      </c>
      <c r="I523" s="73" t="n">
        <v>8464</v>
      </c>
      <c r="J523" s="73" t="n">
        <v>6256.36</v>
      </c>
      <c r="K523" s="73" t="n">
        <v>0</v>
      </c>
      <c r="L523" s="80" t="n">
        <v>2207.64</v>
      </c>
      <c r="M523" s="78" t="n">
        <v>0.2608</v>
      </c>
      <c r="N523" s="107" t="n">
        <v>0.7391729678638941</v>
      </c>
      <c r="O523" s="108" t="inlineStr">
        <is>
          <t>Under</t>
        </is>
      </c>
      <c r="P523" s="69" t="inlineStr">
        <is>
          <t>On Track</t>
        </is>
      </c>
    </row>
    <row r="524" ht="16" customHeight="1">
      <c r="A524" s="98" t="inlineStr">
        <is>
          <t>CC-00523</t>
        </is>
      </c>
      <c r="B524" s="99" t="inlineStr">
        <is>
          <t>EVT-2025-048</t>
        </is>
      </c>
      <c r="C524" s="100" t="inlineStr">
        <is>
          <t>Vaccinade Satellite Symposium Budapest Mar 2025</t>
        </is>
      </c>
      <c r="D524" s="100" t="inlineStr">
        <is>
          <t>Infectious Diseases</t>
        </is>
      </c>
      <c r="E524" s="100" t="inlineStr">
        <is>
          <t>BU Infectious Diseases</t>
        </is>
      </c>
      <c r="F524" s="99" t="inlineStr">
        <is>
          <t>AV &amp; Technology</t>
        </is>
      </c>
      <c r="G524" s="99" t="inlineStr">
        <is>
          <t>Mar-2025</t>
        </is>
      </c>
      <c r="H524" s="99" t="inlineStr">
        <is>
          <t>Q1 2025</t>
        </is>
      </c>
      <c r="I524" s="101" t="n">
        <v>11285.33</v>
      </c>
      <c r="J524" s="101" t="n">
        <v>10742.28</v>
      </c>
      <c r="K524" s="101" t="n">
        <v>0</v>
      </c>
      <c r="L524" s="102" t="n">
        <v>543.05</v>
      </c>
      <c r="M524" s="103" t="n">
        <v>0.0481</v>
      </c>
      <c r="N524" s="104" t="n">
        <v>0.9518800070534048</v>
      </c>
      <c r="O524" s="105" t="inlineStr">
        <is>
          <t>Under</t>
        </is>
      </c>
      <c r="P524" s="69" t="inlineStr">
        <is>
          <t>On Track</t>
        </is>
      </c>
    </row>
    <row r="525" ht="16" customHeight="1">
      <c r="A525" s="106" t="inlineStr">
        <is>
          <t>CC-00524</t>
        </is>
      </c>
      <c r="B525" s="71" t="inlineStr">
        <is>
          <t>EVT-2025-048</t>
        </is>
      </c>
      <c r="C525" s="70" t="inlineStr">
        <is>
          <t>Vaccinade Satellite Symposium Budapest Mar 2025</t>
        </is>
      </c>
      <c r="D525" s="70" t="inlineStr">
        <is>
          <t>Infectious Diseases</t>
        </is>
      </c>
      <c r="E525" s="70" t="inlineStr">
        <is>
          <t>BU Infectious Diseases</t>
        </is>
      </c>
      <c r="F525" s="71" t="inlineStr">
        <is>
          <t>Agency Fees</t>
        </is>
      </c>
      <c r="G525" s="71" t="inlineStr">
        <is>
          <t>Mar-2025</t>
        </is>
      </c>
      <c r="H525" s="71" t="inlineStr">
        <is>
          <t>Q1 2025</t>
        </is>
      </c>
      <c r="I525" s="73" t="n">
        <v>19749.33</v>
      </c>
      <c r="J525" s="73" t="n">
        <v>19709.91</v>
      </c>
      <c r="K525" s="73" t="n">
        <v>0</v>
      </c>
      <c r="L525" s="80" t="n">
        <v>39.42</v>
      </c>
      <c r="M525" s="78" t="n">
        <v>0.002</v>
      </c>
      <c r="N525" s="107" t="n">
        <v>0.9980039829199268</v>
      </c>
      <c r="O525" s="108" t="inlineStr">
        <is>
          <t>Under</t>
        </is>
      </c>
      <c r="P525" s="69" t="inlineStr">
        <is>
          <t>On Track</t>
        </is>
      </c>
    </row>
    <row r="526" ht="16" customHeight="1">
      <c r="A526" s="98" t="inlineStr">
        <is>
          <t>CC-00525</t>
        </is>
      </c>
      <c r="B526" s="99" t="inlineStr">
        <is>
          <t>EVT-2025-048</t>
        </is>
      </c>
      <c r="C526" s="100" t="inlineStr">
        <is>
          <t>Vaccinade Satellite Symposium Budapest Mar 2025</t>
        </is>
      </c>
      <c r="D526" s="100" t="inlineStr">
        <is>
          <t>Infectious Diseases</t>
        </is>
      </c>
      <c r="E526" s="100" t="inlineStr">
        <is>
          <t>BU Infectious Diseases</t>
        </is>
      </c>
      <c r="F526" s="99" t="inlineStr">
        <is>
          <t>Speaker Fees</t>
        </is>
      </c>
      <c r="G526" s="99" t="inlineStr">
        <is>
          <t>Mar-2025</t>
        </is>
      </c>
      <c r="H526" s="99" t="inlineStr">
        <is>
          <t>Q1 2025</t>
        </is>
      </c>
      <c r="I526" s="101" t="n">
        <v>14106.66</v>
      </c>
      <c r="J526" s="101" t="n">
        <v>12536.22</v>
      </c>
      <c r="K526" s="101" t="n">
        <v>0</v>
      </c>
      <c r="L526" s="102" t="n">
        <v>1570.44</v>
      </c>
      <c r="M526" s="103" t="n">
        <v>0.1113</v>
      </c>
      <c r="N526" s="104" t="n">
        <v>0.8886738604318811</v>
      </c>
      <c r="O526" s="105" t="inlineStr">
        <is>
          <t>Under</t>
        </is>
      </c>
      <c r="P526" s="69" t="inlineStr">
        <is>
          <t>On Track</t>
        </is>
      </c>
    </row>
    <row r="527" ht="16" customHeight="1">
      <c r="A527" s="106" t="inlineStr">
        <is>
          <t>CC-00526</t>
        </is>
      </c>
      <c r="B527" s="71" t="inlineStr">
        <is>
          <t>EVT-2025-048</t>
        </is>
      </c>
      <c r="C527" s="70" t="inlineStr">
        <is>
          <t>Vaccinade Satellite Symposium Budapest Mar 2025</t>
        </is>
      </c>
      <c r="D527" s="70" t="inlineStr">
        <is>
          <t>Infectious Diseases</t>
        </is>
      </c>
      <c r="E527" s="70" t="inlineStr">
        <is>
          <t>BU Infectious Diseases</t>
        </is>
      </c>
      <c r="F527" s="71" t="inlineStr">
        <is>
          <t>Translation</t>
        </is>
      </c>
      <c r="G527" s="71" t="inlineStr">
        <is>
          <t>Mar-2025</t>
        </is>
      </c>
      <c r="H527" s="71" t="inlineStr">
        <is>
          <t>Q1 2025</t>
        </is>
      </c>
      <c r="I527" s="73" t="n">
        <v>4232</v>
      </c>
      <c r="J527" s="73" t="n">
        <v>4230.95</v>
      </c>
      <c r="K527" s="73" t="n">
        <v>0</v>
      </c>
      <c r="L527" s="80" t="n">
        <v>1.05</v>
      </c>
      <c r="M527" s="78" t="n">
        <v>0.0002</v>
      </c>
      <c r="N527" s="107" t="n">
        <v>0.9997518903591682</v>
      </c>
      <c r="O527" s="108" t="inlineStr">
        <is>
          <t>Under</t>
        </is>
      </c>
      <c r="P527" s="69" t="inlineStr">
        <is>
          <t>On Track</t>
        </is>
      </c>
    </row>
    <row r="528" ht="16" customHeight="1">
      <c r="A528" s="98" t="inlineStr">
        <is>
          <t>CC-00527</t>
        </is>
      </c>
      <c r="B528" s="99" t="inlineStr">
        <is>
          <t>EVT-2025-048</t>
        </is>
      </c>
      <c r="C528" s="100" t="inlineStr">
        <is>
          <t>Vaccinade Satellite Symposium Budapest Mar 2025</t>
        </is>
      </c>
      <c r="D528" s="100" t="inlineStr">
        <is>
          <t>Infectious Diseases</t>
        </is>
      </c>
      <c r="E528" s="100" t="inlineStr">
        <is>
          <t>BU Infectious Diseases</t>
        </is>
      </c>
      <c r="F528" s="99" t="inlineStr">
        <is>
          <t>Print &amp; Production</t>
        </is>
      </c>
      <c r="G528" s="99" t="inlineStr">
        <is>
          <t>Mar-2025</t>
        </is>
      </c>
      <c r="H528" s="99" t="inlineStr">
        <is>
          <t>Q1 2025</t>
        </is>
      </c>
      <c r="I528" s="101" t="n">
        <v>2821.33</v>
      </c>
      <c r="J528" s="101" t="n">
        <v>2450.17</v>
      </c>
      <c r="K528" s="101" t="n">
        <v>0</v>
      </c>
      <c r="L528" s="102" t="n">
        <v>371.16</v>
      </c>
      <c r="M528" s="103" t="n">
        <v>0.1316</v>
      </c>
      <c r="N528" s="104" t="n">
        <v>0.8684450241552744</v>
      </c>
      <c r="O528" s="105" t="inlineStr">
        <is>
          <t>Under</t>
        </is>
      </c>
      <c r="P528" s="69" t="inlineStr">
        <is>
          <t>On Track</t>
        </is>
      </c>
    </row>
    <row r="529" ht="16" customHeight="1">
      <c r="A529" s="106" t="inlineStr">
        <is>
          <t>CC-00528</t>
        </is>
      </c>
      <c r="B529" s="71" t="inlineStr">
        <is>
          <t>EVT-2025-048</t>
        </is>
      </c>
      <c r="C529" s="70" t="inlineStr">
        <is>
          <t>Vaccinade Satellite Symposium Budapest Mar 2025</t>
        </is>
      </c>
      <c r="D529" s="70" t="inlineStr">
        <is>
          <t>Infectious Diseases</t>
        </is>
      </c>
      <c r="E529" s="70" t="inlineStr">
        <is>
          <t>BU Infectious Diseases</t>
        </is>
      </c>
      <c r="F529" s="71" t="inlineStr">
        <is>
          <t>Miscellaneous</t>
        </is>
      </c>
      <c r="G529" s="71" t="inlineStr">
        <is>
          <t>Mar-2025</t>
        </is>
      </c>
      <c r="H529" s="71" t="inlineStr">
        <is>
          <t>Q1 2025</t>
        </is>
      </c>
      <c r="I529" s="73" t="n">
        <v>2821.33</v>
      </c>
      <c r="J529" s="73" t="n">
        <v>2208.81</v>
      </c>
      <c r="K529" s="73" t="n">
        <v>0</v>
      </c>
      <c r="L529" s="80" t="n">
        <v>612.52</v>
      </c>
      <c r="M529" s="78" t="n">
        <v>0.2171</v>
      </c>
      <c r="N529" s="107" t="n">
        <v>0.7828967189233447</v>
      </c>
      <c r="O529" s="108" t="inlineStr">
        <is>
          <t>Under</t>
        </is>
      </c>
      <c r="P529" s="69" t="inlineStr">
        <is>
          <t>On Track</t>
        </is>
      </c>
    </row>
    <row r="530" ht="16" customHeight="1">
      <c r="A530" s="98" t="inlineStr">
        <is>
          <t>CC-00529</t>
        </is>
      </c>
      <c r="B530" s="99" t="inlineStr">
        <is>
          <t>EVT-2025-049</t>
        </is>
      </c>
      <c r="C530" s="100" t="inlineStr">
        <is>
          <t>Hemaflex Webinar Istanbul Dec 2025</t>
        </is>
      </c>
      <c r="D530" s="100" t="inlineStr">
        <is>
          <t>Hematology</t>
        </is>
      </c>
      <c r="E530" s="100" t="inlineStr">
        <is>
          <t>BU Oncology</t>
        </is>
      </c>
      <c r="F530" s="99" t="inlineStr">
        <is>
          <t>Airfare</t>
        </is>
      </c>
      <c r="G530" s="99" t="inlineStr">
        <is>
          <t>Dec-2025</t>
        </is>
      </c>
      <c r="H530" s="99" t="inlineStr">
        <is>
          <t>Q4 2025</t>
        </is>
      </c>
      <c r="I530" s="101" t="n">
        <v>49536.43</v>
      </c>
      <c r="J530" s="101" t="n">
        <v>34603.04</v>
      </c>
      <c r="K530" s="101" t="n">
        <v>25405.08</v>
      </c>
      <c r="L530" s="102" t="n">
        <v>14933.39</v>
      </c>
      <c r="M530" s="103" t="n">
        <v>0.3015</v>
      </c>
      <c r="N530" s="104" t="n">
        <v>0.6985372179626186</v>
      </c>
      <c r="O530" s="105" t="inlineStr">
        <is>
          <t>Under</t>
        </is>
      </c>
      <c r="P530" s="69" t="inlineStr">
        <is>
          <t>On Track</t>
        </is>
      </c>
    </row>
    <row r="531" ht="16" customHeight="1">
      <c r="A531" s="106" t="inlineStr">
        <is>
          <t>CC-00530</t>
        </is>
      </c>
      <c r="B531" s="71" t="inlineStr">
        <is>
          <t>EVT-2025-049</t>
        </is>
      </c>
      <c r="C531" s="70" t="inlineStr">
        <is>
          <t>Hemaflex Webinar Istanbul Dec 2025</t>
        </is>
      </c>
      <c r="D531" s="70" t="inlineStr">
        <is>
          <t>Hematology</t>
        </is>
      </c>
      <c r="E531" s="70" t="inlineStr">
        <is>
          <t>BU Oncology</t>
        </is>
      </c>
      <c r="F531" s="71" t="inlineStr">
        <is>
          <t>Hotel</t>
        </is>
      </c>
      <c r="G531" s="71" t="inlineStr">
        <is>
          <t>Dec-2025</t>
        </is>
      </c>
      <c r="H531" s="71" t="inlineStr">
        <is>
          <t>Q4 2025</t>
        </is>
      </c>
      <c r="I531" s="73" t="n">
        <v>89165.58</v>
      </c>
      <c r="J531" s="73" t="n">
        <v>83401.09</v>
      </c>
      <c r="K531" s="73" t="n">
        <v>70627.81</v>
      </c>
      <c r="L531" s="80" t="n">
        <v>5764.49</v>
      </c>
      <c r="M531" s="78" t="n">
        <v>0.0646</v>
      </c>
      <c r="N531" s="107" t="n">
        <v>0.9353507261434288</v>
      </c>
      <c r="O531" s="108" t="inlineStr">
        <is>
          <t>Under</t>
        </is>
      </c>
      <c r="P531" s="69" t="inlineStr">
        <is>
          <t>On Track</t>
        </is>
      </c>
    </row>
    <row r="532" ht="16" customHeight="1">
      <c r="A532" s="98" t="inlineStr">
        <is>
          <t>CC-00531</t>
        </is>
      </c>
      <c r="B532" s="99" t="inlineStr">
        <is>
          <t>EVT-2025-049</t>
        </is>
      </c>
      <c r="C532" s="100" t="inlineStr">
        <is>
          <t>Hemaflex Webinar Istanbul Dec 2025</t>
        </is>
      </c>
      <c r="D532" s="100" t="inlineStr">
        <is>
          <t>Hematology</t>
        </is>
      </c>
      <c r="E532" s="100" t="inlineStr">
        <is>
          <t>BU Oncology</t>
        </is>
      </c>
      <c r="F532" s="99" t="inlineStr">
        <is>
          <t>Venue</t>
        </is>
      </c>
      <c r="G532" s="99" t="inlineStr">
        <is>
          <t>Dec-2025</t>
        </is>
      </c>
      <c r="H532" s="99" t="inlineStr">
        <is>
          <t>Q4 2025</t>
        </is>
      </c>
      <c r="I532" s="101" t="n">
        <v>74304.64999999999</v>
      </c>
      <c r="J532" s="101" t="n">
        <v>80468.83</v>
      </c>
      <c r="K532" s="101" t="n">
        <v>63893.96</v>
      </c>
      <c r="L532" s="109" t="n">
        <v>-6164.18</v>
      </c>
      <c r="M532" s="110" t="n">
        <v>-0.083</v>
      </c>
      <c r="N532" s="104" t="n">
        <v>1.08295819978965</v>
      </c>
      <c r="O532" s="111" t="inlineStr">
        <is>
          <t>Over</t>
        </is>
      </c>
      <c r="P532" s="76" t="inlineStr">
        <is>
          <t>Watch</t>
        </is>
      </c>
    </row>
    <row r="533" ht="16" customHeight="1">
      <c r="A533" s="106" t="inlineStr">
        <is>
          <t>CC-00532</t>
        </is>
      </c>
      <c r="B533" s="71" t="inlineStr">
        <is>
          <t>EVT-2025-049</t>
        </is>
      </c>
      <c r="C533" s="70" t="inlineStr">
        <is>
          <t>Hemaflex Webinar Istanbul Dec 2025</t>
        </is>
      </c>
      <c r="D533" s="70" t="inlineStr">
        <is>
          <t>Hematology</t>
        </is>
      </c>
      <c r="E533" s="70" t="inlineStr">
        <is>
          <t>BU Oncology</t>
        </is>
      </c>
      <c r="F533" s="71" t="inlineStr">
        <is>
          <t>F&amp;B</t>
        </is>
      </c>
      <c r="G533" s="71" t="inlineStr">
        <is>
          <t>Dec-2025</t>
        </is>
      </c>
      <c r="H533" s="71" t="inlineStr">
        <is>
          <t>Q4 2025</t>
        </is>
      </c>
      <c r="I533" s="73" t="n">
        <v>59443.72</v>
      </c>
      <c r="J533" s="73" t="n">
        <v>47217.31</v>
      </c>
      <c r="K533" s="73" t="n">
        <v>38612.58</v>
      </c>
      <c r="L533" s="80" t="n">
        <v>12226.41</v>
      </c>
      <c r="M533" s="78" t="n">
        <v>0.2057</v>
      </c>
      <c r="N533" s="107" t="n">
        <v>0.7943195681562324</v>
      </c>
      <c r="O533" s="108" t="inlineStr">
        <is>
          <t>Under</t>
        </is>
      </c>
      <c r="P533" s="69" t="inlineStr">
        <is>
          <t>On Track</t>
        </is>
      </c>
    </row>
    <row r="534" ht="16" customHeight="1">
      <c r="A534" s="98" t="inlineStr">
        <is>
          <t>CC-00533</t>
        </is>
      </c>
      <c r="B534" s="99" t="inlineStr">
        <is>
          <t>EVT-2025-049</t>
        </is>
      </c>
      <c r="C534" s="100" t="inlineStr">
        <is>
          <t>Hemaflex Webinar Istanbul Dec 2025</t>
        </is>
      </c>
      <c r="D534" s="100" t="inlineStr">
        <is>
          <t>Hematology</t>
        </is>
      </c>
      <c r="E534" s="100" t="inlineStr">
        <is>
          <t>BU Oncology</t>
        </is>
      </c>
      <c r="F534" s="99" t="inlineStr">
        <is>
          <t>Logistics</t>
        </is>
      </c>
      <c r="G534" s="99" t="inlineStr">
        <is>
          <t>Dec-2025</t>
        </is>
      </c>
      <c r="H534" s="99" t="inlineStr">
        <is>
          <t>Q4 2025</t>
        </is>
      </c>
      <c r="I534" s="101" t="n">
        <v>29721.86</v>
      </c>
      <c r="J534" s="101" t="n">
        <v>19530.71</v>
      </c>
      <c r="K534" s="101" t="n">
        <v>15733.85</v>
      </c>
      <c r="L534" s="102" t="n">
        <v>10191.15</v>
      </c>
      <c r="M534" s="103" t="n">
        <v>0.3429</v>
      </c>
      <c r="N534" s="104" t="n">
        <v>0.6571160082175207</v>
      </c>
      <c r="O534" s="105" t="inlineStr">
        <is>
          <t>Under</t>
        </is>
      </c>
      <c r="P534" s="69" t="inlineStr">
        <is>
          <t>On Track</t>
        </is>
      </c>
    </row>
    <row r="535" ht="16" customHeight="1">
      <c r="A535" s="106" t="inlineStr">
        <is>
          <t>CC-00534</t>
        </is>
      </c>
      <c r="B535" s="71" t="inlineStr">
        <is>
          <t>EVT-2025-049</t>
        </is>
      </c>
      <c r="C535" s="70" t="inlineStr">
        <is>
          <t>Hemaflex Webinar Istanbul Dec 2025</t>
        </is>
      </c>
      <c r="D535" s="70" t="inlineStr">
        <is>
          <t>Hematology</t>
        </is>
      </c>
      <c r="E535" s="70" t="inlineStr">
        <is>
          <t>BU Oncology</t>
        </is>
      </c>
      <c r="F535" s="71" t="inlineStr">
        <is>
          <t>AV &amp; Technology</t>
        </is>
      </c>
      <c r="G535" s="71" t="inlineStr">
        <is>
          <t>Dec-2025</t>
        </is>
      </c>
      <c r="H535" s="71" t="inlineStr">
        <is>
          <t>Q4 2025</t>
        </is>
      </c>
      <c r="I535" s="73" t="n">
        <v>39629.15</v>
      </c>
      <c r="J535" s="73" t="n">
        <v>32849.8</v>
      </c>
      <c r="K535" s="73" t="n">
        <v>24695.11</v>
      </c>
      <c r="L535" s="80" t="n">
        <v>6779.35</v>
      </c>
      <c r="M535" s="78" t="n">
        <v>0.1711</v>
      </c>
      <c r="N535" s="107" t="n">
        <v>0.8289302192956448</v>
      </c>
      <c r="O535" s="108" t="inlineStr">
        <is>
          <t>Under</t>
        </is>
      </c>
      <c r="P535" s="69" t="inlineStr">
        <is>
          <t>On Track</t>
        </is>
      </c>
    </row>
    <row r="536" ht="16" customHeight="1">
      <c r="A536" s="98" t="inlineStr">
        <is>
          <t>CC-00535</t>
        </is>
      </c>
      <c r="B536" s="99" t="inlineStr">
        <is>
          <t>EVT-2025-049</t>
        </is>
      </c>
      <c r="C536" s="100" t="inlineStr">
        <is>
          <t>Hemaflex Webinar Istanbul Dec 2025</t>
        </is>
      </c>
      <c r="D536" s="100" t="inlineStr">
        <is>
          <t>Hematology</t>
        </is>
      </c>
      <c r="E536" s="100" t="inlineStr">
        <is>
          <t>BU Oncology</t>
        </is>
      </c>
      <c r="F536" s="99" t="inlineStr">
        <is>
          <t>Agency Fees</t>
        </is>
      </c>
      <c r="G536" s="99" t="inlineStr">
        <is>
          <t>Dec-2025</t>
        </is>
      </c>
      <c r="H536" s="99" t="inlineStr">
        <is>
          <t>Q4 2025</t>
        </is>
      </c>
      <c r="I536" s="101" t="n">
        <v>69351</v>
      </c>
      <c r="J536" s="101" t="n">
        <v>64967.63</v>
      </c>
      <c r="K536" s="101" t="n">
        <v>61081.53</v>
      </c>
      <c r="L536" s="102" t="n">
        <v>4383.37</v>
      </c>
      <c r="M536" s="103" t="n">
        <v>0.06320000000000001</v>
      </c>
      <c r="N536" s="104" t="n">
        <v>0.9367944225750169</v>
      </c>
      <c r="O536" s="105" t="inlineStr">
        <is>
          <t>Under</t>
        </is>
      </c>
      <c r="P536" s="69" t="inlineStr">
        <is>
          <t>On Track</t>
        </is>
      </c>
    </row>
    <row r="537" ht="16" customHeight="1">
      <c r="A537" s="106" t="inlineStr">
        <is>
          <t>CC-00536</t>
        </is>
      </c>
      <c r="B537" s="71" t="inlineStr">
        <is>
          <t>EVT-2025-049</t>
        </is>
      </c>
      <c r="C537" s="70" t="inlineStr">
        <is>
          <t>Hemaflex Webinar Istanbul Dec 2025</t>
        </is>
      </c>
      <c r="D537" s="70" t="inlineStr">
        <is>
          <t>Hematology</t>
        </is>
      </c>
      <c r="E537" s="70" t="inlineStr">
        <is>
          <t>BU Oncology</t>
        </is>
      </c>
      <c r="F537" s="71" t="inlineStr">
        <is>
          <t>Speaker Fees</t>
        </is>
      </c>
      <c r="G537" s="71" t="inlineStr">
        <is>
          <t>Dec-2025</t>
        </is>
      </c>
      <c r="H537" s="71" t="inlineStr">
        <is>
          <t>Q4 2025</t>
        </is>
      </c>
      <c r="I537" s="73" t="n">
        <v>49536.43</v>
      </c>
      <c r="J537" s="73" t="n">
        <v>52475.99</v>
      </c>
      <c r="K537" s="73" t="n">
        <v>46024.09</v>
      </c>
      <c r="L537" s="74" t="n">
        <v>-2939.56</v>
      </c>
      <c r="M537" s="75" t="n">
        <v>-0.0593</v>
      </c>
      <c r="N537" s="107" t="n">
        <v>1.059341377648732</v>
      </c>
      <c r="O537" s="112" t="inlineStr">
        <is>
          <t>Over</t>
        </is>
      </c>
      <c r="P537" s="76" t="inlineStr">
        <is>
          <t>Watch</t>
        </is>
      </c>
    </row>
    <row r="538" ht="16" customHeight="1">
      <c r="A538" s="98" t="inlineStr">
        <is>
          <t>CC-00537</t>
        </is>
      </c>
      <c r="B538" s="99" t="inlineStr">
        <is>
          <t>EVT-2025-049</t>
        </is>
      </c>
      <c r="C538" s="100" t="inlineStr">
        <is>
          <t>Hemaflex Webinar Istanbul Dec 2025</t>
        </is>
      </c>
      <c r="D538" s="100" t="inlineStr">
        <is>
          <t>Hematology</t>
        </is>
      </c>
      <c r="E538" s="100" t="inlineStr">
        <is>
          <t>BU Oncology</t>
        </is>
      </c>
      <c r="F538" s="99" t="inlineStr">
        <is>
          <t>Translation</t>
        </is>
      </c>
      <c r="G538" s="99" t="inlineStr">
        <is>
          <t>Dec-2025</t>
        </is>
      </c>
      <c r="H538" s="99" t="inlineStr">
        <is>
          <t>Q4 2025</t>
        </is>
      </c>
      <c r="I538" s="101" t="n">
        <v>14860.93</v>
      </c>
      <c r="J538" s="101" t="n">
        <v>13910.65</v>
      </c>
      <c r="K538" s="101" t="n">
        <v>11044.44</v>
      </c>
      <c r="L538" s="102" t="n">
        <v>950.28</v>
      </c>
      <c r="M538" s="103" t="n">
        <v>0.0639</v>
      </c>
      <c r="N538" s="104" t="n">
        <v>0.9360551459430869</v>
      </c>
      <c r="O538" s="105" t="inlineStr">
        <is>
          <t>Under</t>
        </is>
      </c>
      <c r="P538" s="69" t="inlineStr">
        <is>
          <t>On Track</t>
        </is>
      </c>
    </row>
    <row r="539" ht="16" customHeight="1">
      <c r="A539" s="106" t="inlineStr">
        <is>
          <t>CC-00538</t>
        </is>
      </c>
      <c r="B539" s="71" t="inlineStr">
        <is>
          <t>EVT-2025-049</t>
        </is>
      </c>
      <c r="C539" s="70" t="inlineStr">
        <is>
          <t>Hemaflex Webinar Istanbul Dec 2025</t>
        </is>
      </c>
      <c r="D539" s="70" t="inlineStr">
        <is>
          <t>Hematology</t>
        </is>
      </c>
      <c r="E539" s="70" t="inlineStr">
        <is>
          <t>BU Oncology</t>
        </is>
      </c>
      <c r="F539" s="71" t="inlineStr">
        <is>
          <t>Print &amp; Production</t>
        </is>
      </c>
      <c r="G539" s="71" t="inlineStr">
        <is>
          <t>Dec-2025</t>
        </is>
      </c>
      <c r="H539" s="71" t="inlineStr">
        <is>
          <t>Q4 2025</t>
        </is>
      </c>
      <c r="I539" s="73" t="n">
        <v>9907.290000000001</v>
      </c>
      <c r="J539" s="73" t="n">
        <v>7126.18</v>
      </c>
      <c r="K539" s="73" t="n">
        <v>5238.35</v>
      </c>
      <c r="L539" s="80" t="n">
        <v>2781.11</v>
      </c>
      <c r="M539" s="78" t="n">
        <v>0.2807</v>
      </c>
      <c r="N539" s="107" t="n">
        <v>0.7192865051896129</v>
      </c>
      <c r="O539" s="108" t="inlineStr">
        <is>
          <t>Under</t>
        </is>
      </c>
      <c r="P539" s="69" t="inlineStr">
        <is>
          <t>On Track</t>
        </is>
      </c>
    </row>
    <row r="540" ht="16" customHeight="1">
      <c r="A540" s="98" t="inlineStr">
        <is>
          <t>CC-00539</t>
        </is>
      </c>
      <c r="B540" s="99" t="inlineStr">
        <is>
          <t>EVT-2025-049</t>
        </is>
      </c>
      <c r="C540" s="100" t="inlineStr">
        <is>
          <t>Hemaflex Webinar Istanbul Dec 2025</t>
        </is>
      </c>
      <c r="D540" s="100" t="inlineStr">
        <is>
          <t>Hematology</t>
        </is>
      </c>
      <c r="E540" s="100" t="inlineStr">
        <is>
          <t>BU Oncology</t>
        </is>
      </c>
      <c r="F540" s="99" t="inlineStr">
        <is>
          <t>Miscellaneous</t>
        </is>
      </c>
      <c r="G540" s="99" t="inlineStr">
        <is>
          <t>Dec-2025</t>
        </is>
      </c>
      <c r="H540" s="99" t="inlineStr">
        <is>
          <t>Q4 2025</t>
        </is>
      </c>
      <c r="I540" s="101" t="n">
        <v>9907.290000000001</v>
      </c>
      <c r="J540" s="101" t="n">
        <v>7793.6</v>
      </c>
      <c r="K540" s="101" t="n">
        <v>5786.03</v>
      </c>
      <c r="L540" s="102" t="n">
        <v>2113.69</v>
      </c>
      <c r="M540" s="103" t="n">
        <v>0.2133</v>
      </c>
      <c r="N540" s="104" t="n">
        <v>0.7866530605241191</v>
      </c>
      <c r="O540" s="105" t="inlineStr">
        <is>
          <t>Under</t>
        </is>
      </c>
      <c r="P540" s="69" t="inlineStr">
        <is>
          <t>On Track</t>
        </is>
      </c>
    </row>
    <row r="541" ht="16" customHeight="1">
      <c r="A541" s="106" t="inlineStr">
        <is>
          <t>CC-00540</t>
        </is>
      </c>
      <c r="B541" s="71" t="inlineStr">
        <is>
          <t>EVT-2025-050</t>
        </is>
      </c>
      <c r="C541" s="70" t="inlineStr">
        <is>
          <t>Infectoban Launch Event Paris Jun 2025</t>
        </is>
      </c>
      <c r="D541" s="70" t="inlineStr">
        <is>
          <t>Infectious Diseases</t>
        </is>
      </c>
      <c r="E541" s="70" t="inlineStr">
        <is>
          <t>BU Infectious Diseases</t>
        </is>
      </c>
      <c r="F541" s="71" t="inlineStr">
        <is>
          <t>Airfare</t>
        </is>
      </c>
      <c r="G541" s="71" t="inlineStr">
        <is>
          <t>Jun-2025</t>
        </is>
      </c>
      <c r="H541" s="71" t="inlineStr">
        <is>
          <t>Q2 2025</t>
        </is>
      </c>
      <c r="I541" s="73" t="n">
        <v>20718.96</v>
      </c>
      <c r="J541" s="73" t="n">
        <v>16455.65</v>
      </c>
      <c r="K541" s="73" t="n">
        <v>14463.33</v>
      </c>
      <c r="L541" s="80" t="n">
        <v>4263.31</v>
      </c>
      <c r="M541" s="78" t="n">
        <v>0.2058</v>
      </c>
      <c r="N541" s="107" t="n">
        <v>0.7942314672165013</v>
      </c>
      <c r="O541" s="108" t="inlineStr">
        <is>
          <t>Under</t>
        </is>
      </c>
      <c r="P541" s="69" t="inlineStr">
        <is>
          <t>On Track</t>
        </is>
      </c>
    </row>
    <row r="542" ht="16" customHeight="1">
      <c r="A542" s="98" t="inlineStr">
        <is>
          <t>CC-00541</t>
        </is>
      </c>
      <c r="B542" s="99" t="inlineStr">
        <is>
          <t>EVT-2025-050</t>
        </is>
      </c>
      <c r="C542" s="100" t="inlineStr">
        <is>
          <t>Infectoban Launch Event Paris Jun 2025</t>
        </is>
      </c>
      <c r="D542" s="100" t="inlineStr">
        <is>
          <t>Infectious Diseases</t>
        </is>
      </c>
      <c r="E542" s="100" t="inlineStr">
        <is>
          <t>BU Infectious Diseases</t>
        </is>
      </c>
      <c r="F542" s="99" t="inlineStr">
        <is>
          <t>Hotel</t>
        </is>
      </c>
      <c r="G542" s="99" t="inlineStr">
        <is>
          <t>Jun-2025</t>
        </is>
      </c>
      <c r="H542" s="99" t="inlineStr">
        <is>
          <t>Q2 2025</t>
        </is>
      </c>
      <c r="I542" s="101" t="n">
        <v>37294.13</v>
      </c>
      <c r="J542" s="101" t="n">
        <v>33094.92</v>
      </c>
      <c r="K542" s="101" t="n">
        <v>27366.57</v>
      </c>
      <c r="L542" s="102" t="n">
        <v>4199.21</v>
      </c>
      <c r="M542" s="103" t="n">
        <v>0.1126</v>
      </c>
      <c r="N542" s="104" t="n">
        <v>0.8874029237308928</v>
      </c>
      <c r="O542" s="105" t="inlineStr">
        <is>
          <t>Under</t>
        </is>
      </c>
      <c r="P542" s="69" t="inlineStr">
        <is>
          <t>On Track</t>
        </is>
      </c>
    </row>
    <row r="543" ht="16" customHeight="1">
      <c r="A543" s="106" t="inlineStr">
        <is>
          <t>CC-00542</t>
        </is>
      </c>
      <c r="B543" s="71" t="inlineStr">
        <is>
          <t>EVT-2025-050</t>
        </is>
      </c>
      <c r="C543" s="70" t="inlineStr">
        <is>
          <t>Infectoban Launch Event Paris Jun 2025</t>
        </is>
      </c>
      <c r="D543" s="70" t="inlineStr">
        <is>
          <t>Infectious Diseases</t>
        </is>
      </c>
      <c r="E543" s="70" t="inlineStr">
        <is>
          <t>BU Infectious Diseases</t>
        </is>
      </c>
      <c r="F543" s="71" t="inlineStr">
        <is>
          <t>Venue</t>
        </is>
      </c>
      <c r="G543" s="71" t="inlineStr">
        <is>
          <t>Jun-2025</t>
        </is>
      </c>
      <c r="H543" s="71" t="inlineStr">
        <is>
          <t>Q2 2025</t>
        </is>
      </c>
      <c r="I543" s="73" t="n">
        <v>31078.44</v>
      </c>
      <c r="J543" s="73" t="n">
        <v>26209.54</v>
      </c>
      <c r="K543" s="73" t="n">
        <v>22572.02</v>
      </c>
      <c r="L543" s="80" t="n">
        <v>4868.9</v>
      </c>
      <c r="M543" s="78" t="n">
        <v>0.1567</v>
      </c>
      <c r="N543" s="107" t="n">
        <v>0.8433351223549188</v>
      </c>
      <c r="O543" s="108" t="inlineStr">
        <is>
          <t>Under</t>
        </is>
      </c>
      <c r="P543" s="69" t="inlineStr">
        <is>
          <t>On Track</t>
        </is>
      </c>
    </row>
    <row r="544" ht="16" customHeight="1">
      <c r="A544" s="98" t="inlineStr">
        <is>
          <t>CC-00543</t>
        </is>
      </c>
      <c r="B544" s="99" t="inlineStr">
        <is>
          <t>EVT-2025-050</t>
        </is>
      </c>
      <c r="C544" s="100" t="inlineStr">
        <is>
          <t>Infectoban Launch Event Paris Jun 2025</t>
        </is>
      </c>
      <c r="D544" s="100" t="inlineStr">
        <is>
          <t>Infectious Diseases</t>
        </is>
      </c>
      <c r="E544" s="100" t="inlineStr">
        <is>
          <t>BU Infectious Diseases</t>
        </is>
      </c>
      <c r="F544" s="99" t="inlineStr">
        <is>
          <t>F&amp;B</t>
        </is>
      </c>
      <c r="G544" s="99" t="inlineStr">
        <is>
          <t>Jun-2025</t>
        </is>
      </c>
      <c r="H544" s="99" t="inlineStr">
        <is>
          <t>Q2 2025</t>
        </is>
      </c>
      <c r="I544" s="101" t="n">
        <v>24862.75</v>
      </c>
      <c r="J544" s="101" t="n">
        <v>26344.09</v>
      </c>
      <c r="K544" s="101" t="n">
        <v>25796.36</v>
      </c>
      <c r="L544" s="109" t="n">
        <v>-1481.34</v>
      </c>
      <c r="M544" s="110" t="n">
        <v>-0.0596</v>
      </c>
      <c r="N544" s="104" t="n">
        <v>1.059580698032197</v>
      </c>
      <c r="O544" s="111" t="inlineStr">
        <is>
          <t>Over</t>
        </is>
      </c>
      <c r="P544" s="76" t="inlineStr">
        <is>
          <t>Watch</t>
        </is>
      </c>
    </row>
    <row r="545" ht="16" customHeight="1">
      <c r="A545" s="106" t="inlineStr">
        <is>
          <t>CC-00544</t>
        </is>
      </c>
      <c r="B545" s="71" t="inlineStr">
        <is>
          <t>EVT-2025-050</t>
        </is>
      </c>
      <c r="C545" s="70" t="inlineStr">
        <is>
          <t>Infectoban Launch Event Paris Jun 2025</t>
        </is>
      </c>
      <c r="D545" s="70" t="inlineStr">
        <is>
          <t>Infectious Diseases</t>
        </is>
      </c>
      <c r="E545" s="70" t="inlineStr">
        <is>
          <t>BU Infectious Diseases</t>
        </is>
      </c>
      <c r="F545" s="71" t="inlineStr">
        <is>
          <t>Logistics</t>
        </is>
      </c>
      <c r="G545" s="71" t="inlineStr">
        <is>
          <t>Jun-2025</t>
        </is>
      </c>
      <c r="H545" s="71" t="inlineStr">
        <is>
          <t>Q2 2025</t>
        </is>
      </c>
      <c r="I545" s="73" t="n">
        <v>12431.38</v>
      </c>
      <c r="J545" s="73" t="n">
        <v>8535.6</v>
      </c>
      <c r="K545" s="73" t="n">
        <v>6402.21</v>
      </c>
      <c r="L545" s="80" t="n">
        <v>3895.78</v>
      </c>
      <c r="M545" s="78" t="n">
        <v>0.3134</v>
      </c>
      <c r="N545" s="107" t="n">
        <v>0.6866172540779866</v>
      </c>
      <c r="O545" s="108" t="inlineStr">
        <is>
          <t>Under</t>
        </is>
      </c>
      <c r="P545" s="69" t="inlineStr">
        <is>
          <t>On Track</t>
        </is>
      </c>
    </row>
    <row r="546" ht="16" customHeight="1">
      <c r="A546" s="98" t="inlineStr">
        <is>
          <t>CC-00545</t>
        </is>
      </c>
      <c r="B546" s="99" t="inlineStr">
        <is>
          <t>EVT-2025-050</t>
        </is>
      </c>
      <c r="C546" s="100" t="inlineStr">
        <is>
          <t>Infectoban Launch Event Paris Jun 2025</t>
        </is>
      </c>
      <c r="D546" s="100" t="inlineStr">
        <is>
          <t>Infectious Diseases</t>
        </is>
      </c>
      <c r="E546" s="100" t="inlineStr">
        <is>
          <t>BU Infectious Diseases</t>
        </is>
      </c>
      <c r="F546" s="99" t="inlineStr">
        <is>
          <t>AV &amp; Technology</t>
        </is>
      </c>
      <c r="G546" s="99" t="inlineStr">
        <is>
          <t>Jun-2025</t>
        </is>
      </c>
      <c r="H546" s="99" t="inlineStr">
        <is>
          <t>Q2 2025</t>
        </is>
      </c>
      <c r="I546" s="101" t="n">
        <v>16575.17</v>
      </c>
      <c r="J546" s="101" t="n">
        <v>12338.84</v>
      </c>
      <c r="K546" s="101" t="n">
        <v>9329.76</v>
      </c>
      <c r="L546" s="102" t="n">
        <v>4236.33</v>
      </c>
      <c r="M546" s="103" t="n">
        <v>0.2556</v>
      </c>
      <c r="N546" s="104" t="n">
        <v>0.7444171010010758</v>
      </c>
      <c r="O546" s="105" t="inlineStr">
        <is>
          <t>Under</t>
        </is>
      </c>
      <c r="P546" s="69" t="inlineStr">
        <is>
          <t>On Track</t>
        </is>
      </c>
    </row>
    <row r="547" ht="16" customHeight="1">
      <c r="A547" s="106" t="inlineStr">
        <is>
          <t>CC-00546</t>
        </is>
      </c>
      <c r="B547" s="71" t="inlineStr">
        <is>
          <t>EVT-2025-050</t>
        </is>
      </c>
      <c r="C547" s="70" t="inlineStr">
        <is>
          <t>Infectoban Launch Event Paris Jun 2025</t>
        </is>
      </c>
      <c r="D547" s="70" t="inlineStr">
        <is>
          <t>Infectious Diseases</t>
        </is>
      </c>
      <c r="E547" s="70" t="inlineStr">
        <is>
          <t>BU Infectious Diseases</t>
        </is>
      </c>
      <c r="F547" s="71" t="inlineStr">
        <is>
          <t>Agency Fees</t>
        </is>
      </c>
      <c r="G547" s="71" t="inlineStr">
        <is>
          <t>Jun-2025</t>
        </is>
      </c>
      <c r="H547" s="71" t="inlineStr">
        <is>
          <t>Q2 2025</t>
        </is>
      </c>
      <c r="I547" s="73" t="n">
        <v>29006.55</v>
      </c>
      <c r="J547" s="73" t="n">
        <v>29615.47</v>
      </c>
      <c r="K547" s="73" t="n">
        <v>26234.06</v>
      </c>
      <c r="L547" s="74" t="n">
        <v>-608.92</v>
      </c>
      <c r="M547" s="78" t="n">
        <v>-0.021</v>
      </c>
      <c r="N547" s="107" t="n">
        <v>1.020992499969835</v>
      </c>
      <c r="O547" s="112" t="inlineStr">
        <is>
          <t>Over</t>
        </is>
      </c>
      <c r="P547" s="69" t="inlineStr">
        <is>
          <t>On Track</t>
        </is>
      </c>
    </row>
    <row r="548" ht="16" customHeight="1">
      <c r="A548" s="98" t="inlineStr">
        <is>
          <t>CC-00547</t>
        </is>
      </c>
      <c r="B548" s="99" t="inlineStr">
        <is>
          <t>EVT-2025-050</t>
        </is>
      </c>
      <c r="C548" s="100" t="inlineStr">
        <is>
          <t>Infectoban Launch Event Paris Jun 2025</t>
        </is>
      </c>
      <c r="D548" s="100" t="inlineStr">
        <is>
          <t>Infectious Diseases</t>
        </is>
      </c>
      <c r="E548" s="100" t="inlineStr">
        <is>
          <t>BU Infectious Diseases</t>
        </is>
      </c>
      <c r="F548" s="99" t="inlineStr">
        <is>
          <t>Speaker Fees</t>
        </is>
      </c>
      <c r="G548" s="99" t="inlineStr">
        <is>
          <t>Jun-2025</t>
        </is>
      </c>
      <c r="H548" s="99" t="inlineStr">
        <is>
          <t>Q2 2025</t>
        </is>
      </c>
      <c r="I548" s="101" t="n">
        <v>20718.96</v>
      </c>
      <c r="J548" s="101" t="n">
        <v>21397.74</v>
      </c>
      <c r="K548" s="101" t="n">
        <v>21088.6</v>
      </c>
      <c r="L548" s="109" t="n">
        <v>-678.78</v>
      </c>
      <c r="M548" s="103" t="n">
        <v>-0.0328</v>
      </c>
      <c r="N548" s="104" t="n">
        <v>1.032761296899072</v>
      </c>
      <c r="O548" s="111" t="inlineStr">
        <is>
          <t>Over</t>
        </is>
      </c>
      <c r="P548" s="69" t="inlineStr">
        <is>
          <t>On Track</t>
        </is>
      </c>
    </row>
    <row r="549" ht="16" customHeight="1">
      <c r="A549" s="106" t="inlineStr">
        <is>
          <t>CC-00548</t>
        </is>
      </c>
      <c r="B549" s="71" t="inlineStr">
        <is>
          <t>EVT-2025-050</t>
        </is>
      </c>
      <c r="C549" s="70" t="inlineStr">
        <is>
          <t>Infectoban Launch Event Paris Jun 2025</t>
        </is>
      </c>
      <c r="D549" s="70" t="inlineStr">
        <is>
          <t>Infectious Diseases</t>
        </is>
      </c>
      <c r="E549" s="70" t="inlineStr">
        <is>
          <t>BU Infectious Diseases</t>
        </is>
      </c>
      <c r="F549" s="71" t="inlineStr">
        <is>
          <t>Translation</t>
        </is>
      </c>
      <c r="G549" s="71" t="inlineStr">
        <is>
          <t>Jun-2025</t>
        </is>
      </c>
      <c r="H549" s="71" t="inlineStr">
        <is>
          <t>Q2 2025</t>
        </is>
      </c>
      <c r="I549" s="73" t="n">
        <v>6215.69</v>
      </c>
      <c r="J549" s="73" t="n">
        <v>5235.5</v>
      </c>
      <c r="K549" s="73" t="n">
        <v>3971.33</v>
      </c>
      <c r="L549" s="80" t="n">
        <v>980.1900000000001</v>
      </c>
      <c r="M549" s="78" t="n">
        <v>0.1577</v>
      </c>
      <c r="N549" s="107" t="n">
        <v>0.8423039115528607</v>
      </c>
      <c r="O549" s="108" t="inlineStr">
        <is>
          <t>Under</t>
        </is>
      </c>
      <c r="P549" s="69" t="inlineStr">
        <is>
          <t>On Track</t>
        </is>
      </c>
    </row>
    <row r="550" ht="16" customHeight="1">
      <c r="A550" s="98" t="inlineStr">
        <is>
          <t>CC-00549</t>
        </is>
      </c>
      <c r="B550" s="99" t="inlineStr">
        <is>
          <t>EVT-2025-050</t>
        </is>
      </c>
      <c r="C550" s="100" t="inlineStr">
        <is>
          <t>Infectoban Launch Event Paris Jun 2025</t>
        </is>
      </c>
      <c r="D550" s="100" t="inlineStr">
        <is>
          <t>Infectious Diseases</t>
        </is>
      </c>
      <c r="E550" s="100" t="inlineStr">
        <is>
          <t>BU Infectious Diseases</t>
        </is>
      </c>
      <c r="F550" s="99" t="inlineStr">
        <is>
          <t>Print &amp; Production</t>
        </is>
      </c>
      <c r="G550" s="99" t="inlineStr">
        <is>
          <t>Jun-2025</t>
        </is>
      </c>
      <c r="H550" s="99" t="inlineStr">
        <is>
          <t>Q2 2025</t>
        </is>
      </c>
      <c r="I550" s="101" t="n">
        <v>4143.79</v>
      </c>
      <c r="J550" s="101" t="n">
        <v>3281.77</v>
      </c>
      <c r="K550" s="101" t="n">
        <v>2850.13</v>
      </c>
      <c r="L550" s="102" t="n">
        <v>862.02</v>
      </c>
      <c r="M550" s="103" t="n">
        <v>0.208</v>
      </c>
      <c r="N550" s="104" t="n">
        <v>0.7919730488272813</v>
      </c>
      <c r="O550" s="105" t="inlineStr">
        <is>
          <t>Under</t>
        </is>
      </c>
      <c r="P550" s="69" t="inlineStr">
        <is>
          <t>On Track</t>
        </is>
      </c>
    </row>
    <row r="551" ht="16" customHeight="1">
      <c r="A551" s="106" t="inlineStr">
        <is>
          <t>CC-00550</t>
        </is>
      </c>
      <c r="B551" s="71" t="inlineStr">
        <is>
          <t>EVT-2025-050</t>
        </is>
      </c>
      <c r="C551" s="70" t="inlineStr">
        <is>
          <t>Infectoban Launch Event Paris Jun 2025</t>
        </is>
      </c>
      <c r="D551" s="70" t="inlineStr">
        <is>
          <t>Infectious Diseases</t>
        </is>
      </c>
      <c r="E551" s="70" t="inlineStr">
        <is>
          <t>BU Infectious Diseases</t>
        </is>
      </c>
      <c r="F551" s="71" t="inlineStr">
        <is>
          <t>Miscellaneous</t>
        </is>
      </c>
      <c r="G551" s="71" t="inlineStr">
        <is>
          <t>Jun-2025</t>
        </is>
      </c>
      <c r="H551" s="71" t="inlineStr">
        <is>
          <t>Q2 2025</t>
        </is>
      </c>
      <c r="I551" s="73" t="n">
        <v>4143.79</v>
      </c>
      <c r="J551" s="73" t="n">
        <v>3839.37</v>
      </c>
      <c r="K551" s="73" t="n">
        <v>3158.8</v>
      </c>
      <c r="L551" s="80" t="n">
        <v>304.42</v>
      </c>
      <c r="M551" s="78" t="n">
        <v>0.0735</v>
      </c>
      <c r="N551" s="107" t="n">
        <v>0.92653585244426</v>
      </c>
      <c r="O551" s="108" t="inlineStr">
        <is>
          <t>Under</t>
        </is>
      </c>
      <c r="P551" s="69" t="inlineStr">
        <is>
          <t>On Track</t>
        </is>
      </c>
    </row>
    <row r="553" ht="24" customHeight="1">
      <c r="A553" s="81" t="inlineStr">
        <is>
          <t>TOTALS</t>
        </is>
      </c>
      <c r="I553" s="82">
        <f>SUM(I2:I551)</f>
        <v/>
      </c>
      <c r="J553" s="82">
        <f>SUM(J2:J551)</f>
        <v/>
      </c>
      <c r="K553" s="82">
        <f>SUM(K2:K551)</f>
        <v/>
      </c>
      <c r="L553" s="82">
        <f>SUM(L2:L551)</f>
        <v/>
      </c>
    </row>
  </sheetData>
  <mergeCells count="1">
    <mergeCell ref="A553:H553"/>
  </mergeCells>
  <conditionalFormatting sqref="M2:M551">
    <cfRule type="colorScale" priority="1">
      <colorScale>
        <cfvo type="num" val="-0.3"/>
        <cfvo type="num" val="0"/>
        <cfvo type="num" val="0.3"/>
        <color rgb="00C00000"/>
        <color rgb="00FFFF00"/>
        <color rgb="0037562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S1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0" customWidth="1" min="4" max="4"/>
    <col width="13" customWidth="1" min="5" max="5"/>
    <col width="13" customWidth="1" min="6" max="6"/>
    <col width="14" customWidth="1" min="7" max="7"/>
    <col width="14" customWidth="1" min="8" max="8"/>
    <col width="10" customWidth="1" min="9" max="9"/>
    <col width="12" customWidth="1" min="10" max="10"/>
    <col width="12" customWidth="1" min="11" max="11"/>
    <col width="18" customWidth="1" min="12" max="12"/>
    <col width="16" customWidth="1" min="13" max="13"/>
    <col width="16" customWidth="1" min="14" max="14"/>
    <col width="13" customWidth="1" min="15" max="15"/>
    <col width="13" customWidth="1" min="16" max="16"/>
    <col width="18" customWidth="1" min="17" max="17"/>
    <col width="18" customWidth="1" min="18" max="18"/>
    <col width="25" customWidth="1" min="19" max="19"/>
  </cols>
  <sheetData>
    <row r="1" ht="30" customHeight="1">
      <c r="A1" s="113" t="inlineStr">
        <is>
          <t>PO Number</t>
        </is>
      </c>
      <c r="B1" s="113" t="inlineStr">
        <is>
          <t>Event ID</t>
        </is>
      </c>
      <c r="C1" s="113" t="inlineStr">
        <is>
          <t>Supplier</t>
        </is>
      </c>
      <c r="D1" s="113" t="inlineStr">
        <is>
          <t>Category</t>
        </is>
      </c>
      <c r="E1" s="113" t="inlineStr">
        <is>
          <t>Request Date</t>
        </is>
      </c>
      <c r="F1" s="113" t="inlineStr">
        <is>
          <t>Approval Date</t>
        </is>
      </c>
      <c r="G1" s="113" t="inlineStr">
        <is>
          <t>Days to Approve</t>
        </is>
      </c>
      <c r="H1" s="113" t="inlineStr">
        <is>
          <t>Amount (€)</t>
        </is>
      </c>
      <c r="I1" s="113" t="inlineStr">
        <is>
          <t>Currency</t>
        </is>
      </c>
      <c r="J1" s="113" t="inlineStr">
        <is>
          <t>Cost Center</t>
        </is>
      </c>
      <c r="K1" s="113" t="inlineStr">
        <is>
          <t>GL Account</t>
        </is>
      </c>
      <c r="L1" s="113" t="inlineStr">
        <is>
          <t>PO Status</t>
        </is>
      </c>
      <c r="M1" s="113" t="inlineStr">
        <is>
          <t>Invoice Number</t>
        </is>
      </c>
      <c r="N1" s="113" t="inlineStr">
        <is>
          <t>Payment Status</t>
        </is>
      </c>
      <c r="O1" s="113" t="inlineStr">
        <is>
          <t>Due Date</t>
        </is>
      </c>
      <c r="P1" s="113" t="inlineStr">
        <is>
          <t>Days Overdue</t>
        </is>
      </c>
      <c r="Q1" s="113" t="inlineStr">
        <is>
          <t>Requestor</t>
        </is>
      </c>
      <c r="R1" s="113" t="inlineStr">
        <is>
          <t>Approver</t>
        </is>
      </c>
      <c r="S1" s="113" t="inlineStr">
        <is>
          <t>Notes</t>
        </is>
      </c>
    </row>
    <row r="2" ht="18" customHeight="1">
      <c r="A2" s="114" t="inlineStr">
        <is>
          <t>PO-2025-1001</t>
        </is>
      </c>
      <c r="B2" s="85" t="inlineStr">
        <is>
          <t>EVT-2025-001</t>
        </is>
      </c>
      <c r="C2" s="86" t="inlineStr">
        <is>
          <t>Translingua Pro</t>
        </is>
      </c>
      <c r="D2" s="86" t="inlineStr">
        <is>
          <t>Translation &amp; Interpretation</t>
        </is>
      </c>
      <c r="E2" s="89" t="n">
        <v>45690</v>
      </c>
      <c r="F2" s="89" t="n">
        <v>45699</v>
      </c>
      <c r="G2" s="90" t="n">
        <v>9</v>
      </c>
      <c r="H2" s="87" t="n">
        <v>56833.03</v>
      </c>
      <c r="I2" s="85" t="inlineStr">
        <is>
          <t>EUR</t>
        </is>
      </c>
      <c r="J2" s="85" t="inlineStr">
        <is>
          <t>CC-8272</t>
        </is>
      </c>
      <c r="K2" s="85" t="inlineStr">
        <is>
          <t>GL-6315</t>
        </is>
      </c>
      <c r="L2" s="76" t="inlineStr">
        <is>
          <t>Pending Approval</t>
        </is>
      </c>
      <c r="M2" s="85" t="inlineStr">
        <is>
          <t>INV-01001</t>
        </is>
      </c>
      <c r="N2" s="88" t="inlineStr">
        <is>
          <t>Approved</t>
        </is>
      </c>
      <c r="O2" s="89" t="n">
        <v>45751</v>
      </c>
      <c r="P2" s="90" t="n">
        <v>0</v>
      </c>
      <c r="Q2" s="86" t="inlineStr">
        <is>
          <t>Marco Bianchi</t>
        </is>
      </c>
      <c r="R2" s="86" t="inlineStr">
        <is>
          <t>David O'Brien</t>
        </is>
      </c>
      <c r="S2" s="86" t="inlineStr"/>
    </row>
    <row r="3" ht="18" customHeight="1">
      <c r="A3" s="115" t="inlineStr">
        <is>
          <t>PO-2025-1002</t>
        </is>
      </c>
      <c r="B3" s="71" t="inlineStr">
        <is>
          <t>EVT-2025-001</t>
        </is>
      </c>
      <c r="C3" s="70" t="inlineStr">
        <is>
          <t>Catering Excellence</t>
        </is>
      </c>
      <c r="D3" s="70" t="inlineStr">
        <is>
          <t>F&amp;B / Catering</t>
        </is>
      </c>
      <c r="E3" s="72" t="n">
        <v>45713</v>
      </c>
      <c r="F3" s="72" t="n">
        <v>45719</v>
      </c>
      <c r="G3" s="91" t="n">
        <v>6</v>
      </c>
      <c r="H3" s="73" t="n">
        <v>50754.52</v>
      </c>
      <c r="I3" s="71" t="inlineStr">
        <is>
          <t>EUR</t>
        </is>
      </c>
      <c r="J3" s="71" t="inlineStr">
        <is>
          <t>CC-5785</t>
        </is>
      </c>
      <c r="K3" s="71" t="inlineStr">
        <is>
          <t>GL-6310</t>
        </is>
      </c>
      <c r="L3" s="69" t="inlineStr">
        <is>
          <t>Approved</t>
        </is>
      </c>
      <c r="M3" s="71" t="inlineStr">
        <is>
          <t>INV-01002</t>
        </is>
      </c>
      <c r="N3" s="88" t="inlineStr">
        <is>
          <t>Approved</t>
        </is>
      </c>
      <c r="O3" s="72" t="n">
        <v>45744</v>
      </c>
      <c r="P3" s="91" t="n">
        <v>0</v>
      </c>
      <c r="Q3" s="70" t="inlineStr">
        <is>
          <t>James Wilson</t>
        </is>
      </c>
      <c r="R3" s="70" t="inlineStr">
        <is>
          <t>Lena Schneider</t>
        </is>
      </c>
      <c r="S3" s="70" t="inlineStr"/>
    </row>
    <row r="4" ht="18" customHeight="1">
      <c r="A4" s="114" t="inlineStr">
        <is>
          <t>PO-2025-1003</t>
        </is>
      </c>
      <c r="B4" s="85" t="inlineStr">
        <is>
          <t>EVT-2025-001</t>
        </is>
      </c>
      <c r="C4" s="86" t="inlineStr">
        <is>
          <t>AVIAWORLD Travel</t>
        </is>
      </c>
      <c r="D4" s="86" t="inlineStr">
        <is>
          <t>Travel &amp; Air</t>
        </is>
      </c>
      <c r="E4" s="89" t="n">
        <v>45713</v>
      </c>
      <c r="F4" s="89" t="n">
        <v>45718</v>
      </c>
      <c r="G4" s="90" t="n">
        <v>5</v>
      </c>
      <c r="H4" s="87" t="n">
        <v>19535.14</v>
      </c>
      <c r="I4" s="85" t="inlineStr">
        <is>
          <t>EUR</t>
        </is>
      </c>
      <c r="J4" s="85" t="inlineStr">
        <is>
          <t>CC-8492</t>
        </is>
      </c>
      <c r="K4" s="85" t="inlineStr">
        <is>
          <t>GL-6320</t>
        </is>
      </c>
      <c r="L4" s="93" t="inlineStr">
        <is>
          <t>Cancelled</t>
        </is>
      </c>
      <c r="M4" s="85" t="inlineStr"/>
      <c r="N4" s="96" t="inlineStr">
        <is>
          <t>Cancelled</t>
        </is>
      </c>
      <c r="O4" s="89" t="n">
        <v>45761</v>
      </c>
      <c r="P4" s="90" t="n">
        <v>0</v>
      </c>
      <c r="Q4" s="86" t="inlineStr">
        <is>
          <t>Carlos Navarro</t>
        </is>
      </c>
      <c r="R4" s="86" t="inlineStr">
        <is>
          <t>Lena Schneider</t>
        </is>
      </c>
      <c r="S4" s="86" t="inlineStr"/>
    </row>
    <row r="5" ht="18" customHeight="1">
      <c r="A5" s="115" t="inlineStr">
        <is>
          <t>PO-2025-1004</t>
        </is>
      </c>
      <c r="B5" s="71" t="inlineStr">
        <is>
          <t>EVT-2025-001</t>
        </is>
      </c>
      <c r="C5" s="70" t="inlineStr">
        <is>
          <t>Prime Hospitality Group</t>
        </is>
      </c>
      <c r="D5" s="70" t="inlineStr">
        <is>
          <t>Hotel &amp; Venue</t>
        </is>
      </c>
      <c r="E5" s="72" t="n">
        <v>45694</v>
      </c>
      <c r="F5" s="72" t="n">
        <v>45698</v>
      </c>
      <c r="G5" s="91" t="n">
        <v>4</v>
      </c>
      <c r="H5" s="73" t="n">
        <v>14941.98</v>
      </c>
      <c r="I5" s="71" t="inlineStr">
        <is>
          <t>EUR</t>
        </is>
      </c>
      <c r="J5" s="71" t="inlineStr">
        <is>
          <t>CC-2871</t>
        </is>
      </c>
      <c r="K5" s="71" t="inlineStr">
        <is>
          <t>GL-6312</t>
        </is>
      </c>
      <c r="L5" s="116" t="inlineStr">
        <is>
          <t>Closed</t>
        </is>
      </c>
      <c r="M5" s="71" t="inlineStr"/>
      <c r="N5" s="96" t="inlineStr">
        <is>
          <t>Cancelled</t>
        </is>
      </c>
      <c r="O5" s="72" t="n">
        <v>45756</v>
      </c>
      <c r="P5" s="91" t="n">
        <v>0</v>
      </c>
      <c r="Q5" s="70" t="inlineStr">
        <is>
          <t>Lucas Dupont</t>
        </is>
      </c>
      <c r="R5" s="70" t="inlineStr">
        <is>
          <t>Lena Schneider</t>
        </is>
      </c>
      <c r="S5" s="70" t="inlineStr"/>
    </row>
    <row r="6" ht="18" customHeight="1">
      <c r="A6" s="114" t="inlineStr">
        <is>
          <t>PO-2025-1005</t>
        </is>
      </c>
      <c r="B6" s="85" t="inlineStr">
        <is>
          <t>EVT-2025-001</t>
        </is>
      </c>
      <c r="C6" s="86" t="inlineStr">
        <is>
          <t>TechEvent Systems</t>
        </is>
      </c>
      <c r="D6" s="86" t="inlineStr">
        <is>
          <t>Registration &amp; Tech</t>
        </is>
      </c>
      <c r="E6" s="89" t="n">
        <v>45669</v>
      </c>
      <c r="F6" s="89" t="n">
        <v>45672</v>
      </c>
      <c r="G6" s="90" t="n">
        <v>3</v>
      </c>
      <c r="H6" s="87" t="n">
        <v>36253.97</v>
      </c>
      <c r="I6" s="85" t="inlineStr">
        <is>
          <t>EUR</t>
        </is>
      </c>
      <c r="J6" s="85" t="inlineStr">
        <is>
          <t>CC-8231</t>
        </is>
      </c>
      <c r="K6" s="85" t="inlineStr">
        <is>
          <t>GL-6320</t>
        </is>
      </c>
      <c r="L6" s="76" t="inlineStr">
        <is>
          <t>Pending Approval</t>
        </is>
      </c>
      <c r="M6" s="85" t="inlineStr">
        <is>
          <t>INV-01005</t>
        </is>
      </c>
      <c r="N6" s="76" t="inlineStr">
        <is>
          <t>Disputed</t>
        </is>
      </c>
      <c r="O6" s="89" t="n">
        <v>45751</v>
      </c>
      <c r="P6" s="90" t="n">
        <v>0</v>
      </c>
      <c r="Q6" s="86" t="inlineStr">
        <is>
          <t>Emma Johansson</t>
        </is>
      </c>
      <c r="R6" s="86" t="inlineStr">
        <is>
          <t>Marco Bianchi</t>
        </is>
      </c>
      <c r="S6" s="86" t="inlineStr"/>
    </row>
    <row r="7" ht="18" customHeight="1">
      <c r="A7" s="115" t="inlineStr">
        <is>
          <t>PO-2025-1006</t>
        </is>
      </c>
      <c r="B7" s="71" t="inlineStr">
        <is>
          <t>EVT-2025-002</t>
        </is>
      </c>
      <c r="C7" s="70" t="inlineStr">
        <is>
          <t>PrintMed Solutions</t>
        </is>
      </c>
      <c r="D7" s="70" t="inlineStr">
        <is>
          <t>Print &amp; Production</t>
        </is>
      </c>
      <c r="E7" s="72" t="n">
        <v>45576</v>
      </c>
      <c r="F7" s="72" t="n">
        <v>45582</v>
      </c>
      <c r="G7" s="91" t="n">
        <v>6</v>
      </c>
      <c r="H7" s="73" t="n">
        <v>48646.86</v>
      </c>
      <c r="I7" s="71" t="inlineStr">
        <is>
          <t>EUR</t>
        </is>
      </c>
      <c r="J7" s="71" t="inlineStr">
        <is>
          <t>CC-5877</t>
        </is>
      </c>
      <c r="K7" s="71" t="inlineStr">
        <is>
          <t>GL-6330</t>
        </is>
      </c>
      <c r="L7" s="96" t="inlineStr">
        <is>
          <t>Draft</t>
        </is>
      </c>
      <c r="M7" s="71" t="inlineStr">
        <is>
          <t>INV-01006</t>
        </is>
      </c>
      <c r="N7" s="93" t="inlineStr">
        <is>
          <t>Overdue</t>
        </is>
      </c>
      <c r="O7" s="72" t="n">
        <v>45653</v>
      </c>
      <c r="P7" s="94" t="n">
        <v>544</v>
      </c>
      <c r="Q7" s="70" t="inlineStr">
        <is>
          <t>Carlos Navarro</t>
        </is>
      </c>
      <c r="R7" s="70" t="inlineStr">
        <is>
          <t>Isabel Ferreira</t>
        </is>
      </c>
      <c r="S7" s="70" t="inlineStr"/>
    </row>
    <row r="8" ht="18" customHeight="1">
      <c r="A8" s="114" t="inlineStr">
        <is>
          <t>PO-2025-1007</t>
        </is>
      </c>
      <c r="B8" s="85" t="inlineStr">
        <is>
          <t>EVT-2025-002</t>
        </is>
      </c>
      <c r="C8" s="86" t="inlineStr">
        <is>
          <t>HealthMarketing Group</t>
        </is>
      </c>
      <c r="D8" s="86" t="inlineStr">
        <is>
          <t>Marketing Agency</t>
        </is>
      </c>
      <c r="E8" s="89" t="n">
        <v>45593</v>
      </c>
      <c r="F8" s="89" t="n">
        <v>45597</v>
      </c>
      <c r="G8" s="90" t="n">
        <v>4</v>
      </c>
      <c r="H8" s="87" t="n">
        <v>19856.1</v>
      </c>
      <c r="I8" s="85" t="inlineStr">
        <is>
          <t>EUR</t>
        </is>
      </c>
      <c r="J8" s="85" t="inlineStr">
        <is>
          <t>CC-8193</t>
        </is>
      </c>
      <c r="K8" s="85" t="inlineStr">
        <is>
          <t>GL-6330</t>
        </is>
      </c>
      <c r="L8" s="96" t="inlineStr">
        <is>
          <t>Draft</t>
        </is>
      </c>
      <c r="M8" s="85" t="inlineStr"/>
      <c r="N8" s="93" t="inlineStr">
        <is>
          <t>Overdue</t>
        </is>
      </c>
      <c r="O8" s="89" t="n">
        <v>45645</v>
      </c>
      <c r="P8" s="94" t="n">
        <v>552</v>
      </c>
      <c r="Q8" s="86" t="inlineStr">
        <is>
          <t>James Wilson</t>
        </is>
      </c>
      <c r="R8" s="86" t="inlineStr">
        <is>
          <t>James Wilson</t>
        </is>
      </c>
      <c r="S8" s="86" t="inlineStr"/>
    </row>
    <row r="9" ht="18" customHeight="1">
      <c r="A9" s="115" t="inlineStr">
        <is>
          <t>PO-2025-1008</t>
        </is>
      </c>
      <c r="B9" s="71" t="inlineStr">
        <is>
          <t>EVT-2025-002</t>
        </is>
      </c>
      <c r="C9" s="70" t="inlineStr">
        <is>
          <t>Translingua Pro</t>
        </is>
      </c>
      <c r="D9" s="70" t="inlineStr">
        <is>
          <t>Translation &amp; Interpretation</t>
        </is>
      </c>
      <c r="E9" s="72" t="n">
        <v>45564</v>
      </c>
      <c r="F9" s="72" t="n">
        <v>45572</v>
      </c>
      <c r="G9" s="91" t="n">
        <v>8</v>
      </c>
      <c r="H9" s="73" t="n">
        <v>79966.64999999999</v>
      </c>
      <c r="I9" s="71" t="inlineStr">
        <is>
          <t>EUR</t>
        </is>
      </c>
      <c r="J9" s="71" t="inlineStr">
        <is>
          <t>CC-8015</t>
        </is>
      </c>
      <c r="K9" s="71" t="inlineStr">
        <is>
          <t>GL-6311</t>
        </is>
      </c>
      <c r="L9" s="116" t="inlineStr">
        <is>
          <t>Closed</t>
        </is>
      </c>
      <c r="M9" s="71" t="inlineStr">
        <is>
          <t>INV-01008</t>
        </is>
      </c>
      <c r="N9" s="93" t="inlineStr">
        <is>
          <t>Overdue</t>
        </is>
      </c>
      <c r="O9" s="72" t="n">
        <v>45645</v>
      </c>
      <c r="P9" s="94" t="n">
        <v>552</v>
      </c>
      <c r="Q9" s="70" t="inlineStr">
        <is>
          <t>Sophie Müller</t>
        </is>
      </c>
      <c r="R9" s="70" t="inlineStr">
        <is>
          <t>James Wilson</t>
        </is>
      </c>
      <c r="S9" s="70" t="inlineStr"/>
    </row>
    <row r="10" ht="18" customHeight="1">
      <c r="A10" s="114" t="inlineStr">
        <is>
          <t>PO-2025-1009</t>
        </is>
      </c>
      <c r="B10" s="85" t="inlineStr">
        <is>
          <t>EVT-2025-003</t>
        </is>
      </c>
      <c r="C10" s="86" t="inlineStr">
        <is>
          <t>Translingua Pro</t>
        </is>
      </c>
      <c r="D10" s="86" t="inlineStr">
        <is>
          <t>Translation &amp; Interpretation</t>
        </is>
      </c>
      <c r="E10" s="89" t="n">
        <v>45676</v>
      </c>
      <c r="F10" s="89" t="n">
        <v>45682</v>
      </c>
      <c r="G10" s="90" t="n">
        <v>6</v>
      </c>
      <c r="H10" s="87" t="n">
        <v>73453.67999999999</v>
      </c>
      <c r="I10" s="85" t="inlineStr">
        <is>
          <t>EUR</t>
        </is>
      </c>
      <c r="J10" s="85" t="inlineStr">
        <is>
          <t>CC-1972</t>
        </is>
      </c>
      <c r="K10" s="85" t="inlineStr">
        <is>
          <t>GL-6320</t>
        </is>
      </c>
      <c r="L10" s="69" t="inlineStr">
        <is>
          <t>Approved</t>
        </is>
      </c>
      <c r="M10" s="85" t="inlineStr">
        <is>
          <t>INV-01009</t>
        </is>
      </c>
      <c r="N10" s="69" t="inlineStr">
        <is>
          <t>Paid</t>
        </is>
      </c>
      <c r="O10" s="89" t="n">
        <v>45758</v>
      </c>
      <c r="P10" s="90" t="n">
        <v>0</v>
      </c>
      <c r="Q10" s="86" t="inlineStr">
        <is>
          <t>Lena Schneider</t>
        </is>
      </c>
      <c r="R10" s="86" t="inlineStr">
        <is>
          <t>Isabel Ferreira</t>
        </is>
      </c>
      <c r="S10" s="86" t="inlineStr"/>
    </row>
    <row r="11" ht="18" customHeight="1">
      <c r="A11" s="115" t="inlineStr">
        <is>
          <t>PO-2025-1010</t>
        </is>
      </c>
      <c r="B11" s="71" t="inlineStr">
        <is>
          <t>EVT-2025-003</t>
        </is>
      </c>
      <c r="C11" s="70" t="inlineStr">
        <is>
          <t>PrintMed Solutions</t>
        </is>
      </c>
      <c r="D11" s="70" t="inlineStr">
        <is>
          <t>Print &amp; Production</t>
        </is>
      </c>
      <c r="E11" s="72" t="n">
        <v>45680</v>
      </c>
      <c r="F11" s="72" t="n">
        <v>45685</v>
      </c>
      <c r="G11" s="91" t="n">
        <v>5</v>
      </c>
      <c r="H11" s="73" t="n">
        <v>77586.31</v>
      </c>
      <c r="I11" s="71" t="inlineStr">
        <is>
          <t>EUR</t>
        </is>
      </c>
      <c r="J11" s="71" t="inlineStr">
        <is>
          <t>CC-6302</t>
        </is>
      </c>
      <c r="K11" s="71" t="inlineStr">
        <is>
          <t>GL-6325</t>
        </is>
      </c>
      <c r="L11" s="69" t="inlineStr">
        <is>
          <t>Approved</t>
        </is>
      </c>
      <c r="M11" s="71" t="inlineStr">
        <is>
          <t>INV-01010</t>
        </is>
      </c>
      <c r="N11" s="95" t="inlineStr">
        <is>
          <t>Invoiced</t>
        </is>
      </c>
      <c r="O11" s="72" t="n">
        <v>45748</v>
      </c>
      <c r="P11" s="91" t="n">
        <v>0</v>
      </c>
      <c r="Q11" s="70" t="inlineStr">
        <is>
          <t>Isabel Ferreira</t>
        </is>
      </c>
      <c r="R11" s="70" t="inlineStr">
        <is>
          <t>David O'Brien</t>
        </is>
      </c>
      <c r="S11" s="70" t="inlineStr"/>
    </row>
    <row r="12" ht="18" customHeight="1">
      <c r="A12" s="114" t="inlineStr">
        <is>
          <t>PO-2025-1011</t>
        </is>
      </c>
      <c r="B12" s="85" t="inlineStr">
        <is>
          <t>EVT-2025-004</t>
        </is>
      </c>
      <c r="C12" s="86" t="inlineStr">
        <is>
          <t>TechEvent Systems</t>
        </is>
      </c>
      <c r="D12" s="86" t="inlineStr">
        <is>
          <t>Registration &amp; Tech</t>
        </is>
      </c>
      <c r="E12" s="89" t="n">
        <v>45731</v>
      </c>
      <c r="F12" s="89" t="n">
        <v>45735</v>
      </c>
      <c r="G12" s="90" t="n">
        <v>4</v>
      </c>
      <c r="H12" s="87" t="n">
        <v>34108.32</v>
      </c>
      <c r="I12" s="85" t="inlineStr">
        <is>
          <t>EUR</t>
        </is>
      </c>
      <c r="J12" s="85" t="inlineStr">
        <is>
          <t>CC-3221</t>
        </is>
      </c>
      <c r="K12" s="85" t="inlineStr">
        <is>
          <t>GL-6330</t>
        </is>
      </c>
      <c r="L12" s="88" t="inlineStr">
        <is>
          <t>Sent to Supplier</t>
        </is>
      </c>
      <c r="M12" s="85" t="inlineStr"/>
      <c r="N12" s="69" t="inlineStr">
        <is>
          <t>Paid</t>
        </is>
      </c>
      <c r="O12" s="89" t="n">
        <v>45778</v>
      </c>
      <c r="P12" s="90" t="n">
        <v>0</v>
      </c>
      <c r="Q12" s="86" t="inlineStr">
        <is>
          <t>Ana García</t>
        </is>
      </c>
      <c r="R12" s="86" t="inlineStr">
        <is>
          <t>Isabel Ferreira</t>
        </is>
      </c>
      <c r="S12" s="86" t="inlineStr"/>
    </row>
    <row r="13" ht="18" customHeight="1">
      <c r="A13" s="115" t="inlineStr">
        <is>
          <t>PO-2025-1012</t>
        </is>
      </c>
      <c r="B13" s="71" t="inlineStr">
        <is>
          <t>EVT-2025-005</t>
        </is>
      </c>
      <c r="C13" s="70" t="inlineStr">
        <is>
          <t>AVIAWORLD Travel</t>
        </is>
      </c>
      <c r="D13" s="70" t="inlineStr">
        <is>
          <t>Travel &amp; Air</t>
        </is>
      </c>
      <c r="E13" s="72" t="n">
        <v>45863</v>
      </c>
      <c r="F13" s="72" t="n">
        <v>45868</v>
      </c>
      <c r="G13" s="91" t="n">
        <v>5</v>
      </c>
      <c r="H13" s="73" t="n">
        <v>77674.41</v>
      </c>
      <c r="I13" s="71" t="inlineStr">
        <is>
          <t>EUR</t>
        </is>
      </c>
      <c r="J13" s="71" t="inlineStr">
        <is>
          <t>CC-3174</t>
        </is>
      </c>
      <c r="K13" s="71" t="inlineStr">
        <is>
          <t>GL-6311</t>
        </is>
      </c>
      <c r="L13" s="76" t="inlineStr">
        <is>
          <t>Pending Approval</t>
        </is>
      </c>
      <c r="M13" s="71" t="inlineStr">
        <is>
          <t>INV-01012</t>
        </is>
      </c>
      <c r="N13" s="96" t="inlineStr">
        <is>
          <t>Cancelled</t>
        </is>
      </c>
      <c r="O13" s="72" t="n">
        <v>45948</v>
      </c>
      <c r="P13" s="91" t="n">
        <v>0</v>
      </c>
      <c r="Q13" s="70" t="inlineStr">
        <is>
          <t>Thomas Dubois</t>
        </is>
      </c>
      <c r="R13" s="70" t="inlineStr">
        <is>
          <t>Lucas Dupont</t>
        </is>
      </c>
      <c r="S13" s="70" t="inlineStr"/>
    </row>
    <row r="14" ht="18" customHeight="1">
      <c r="A14" s="114" t="inlineStr">
        <is>
          <t>PO-2025-1013</t>
        </is>
      </c>
      <c r="B14" s="85" t="inlineStr">
        <is>
          <t>EVT-2025-005</t>
        </is>
      </c>
      <c r="C14" s="86" t="inlineStr">
        <is>
          <t>Translingua Pro</t>
        </is>
      </c>
      <c r="D14" s="86" t="inlineStr">
        <is>
          <t>Translation &amp; Interpretation</t>
        </is>
      </c>
      <c r="E14" s="89" t="n">
        <v>45864</v>
      </c>
      <c r="F14" s="89" t="n">
        <v>45870</v>
      </c>
      <c r="G14" s="90" t="n">
        <v>6</v>
      </c>
      <c r="H14" s="87" t="n">
        <v>44322.3</v>
      </c>
      <c r="I14" s="85" t="inlineStr">
        <is>
          <t>EUR</t>
        </is>
      </c>
      <c r="J14" s="85" t="inlineStr">
        <is>
          <t>CC-7434</t>
        </is>
      </c>
      <c r="K14" s="85" t="inlineStr">
        <is>
          <t>GL-6315</t>
        </is>
      </c>
      <c r="L14" s="76" t="inlineStr">
        <is>
          <t>Pending Approval</t>
        </is>
      </c>
      <c r="M14" s="85" t="inlineStr">
        <is>
          <t>INV-01013</t>
        </is>
      </c>
      <c r="N14" s="93" t="inlineStr">
        <is>
          <t>Overdue</t>
        </is>
      </c>
      <c r="O14" s="89" t="n">
        <v>45947</v>
      </c>
      <c r="P14" s="94" t="n">
        <v>250</v>
      </c>
      <c r="Q14" s="86" t="inlineStr">
        <is>
          <t>David O'Brien</t>
        </is>
      </c>
      <c r="R14" s="86" t="inlineStr">
        <is>
          <t>Maria Kowalski</t>
        </is>
      </c>
      <c r="S14" s="86" t="inlineStr"/>
    </row>
    <row r="15" ht="18" customHeight="1">
      <c r="A15" s="115" t="inlineStr">
        <is>
          <t>PO-2025-1014</t>
        </is>
      </c>
      <c r="B15" s="71" t="inlineStr">
        <is>
          <t>EVT-2025-005</t>
        </is>
      </c>
      <c r="C15" s="70" t="inlineStr">
        <is>
          <t>InterCongress PCO</t>
        </is>
      </c>
      <c r="D15" s="70" t="inlineStr">
        <is>
          <t>PCO / Event Agency</t>
        </is>
      </c>
      <c r="E15" s="72" t="n">
        <v>45899</v>
      </c>
      <c r="F15" s="72" t="n">
        <v>45908</v>
      </c>
      <c r="G15" s="91" t="n">
        <v>9</v>
      </c>
      <c r="H15" s="73" t="n">
        <v>40882.46</v>
      </c>
      <c r="I15" s="71" t="inlineStr">
        <is>
          <t>EUR</t>
        </is>
      </c>
      <c r="J15" s="71" t="inlineStr">
        <is>
          <t>CC-7146</t>
        </is>
      </c>
      <c r="K15" s="71" t="inlineStr">
        <is>
          <t>GL-6315</t>
        </is>
      </c>
      <c r="L15" s="96" t="inlineStr">
        <is>
          <t>Draft</t>
        </is>
      </c>
      <c r="M15" s="71" t="inlineStr">
        <is>
          <t>INV-01014</t>
        </is>
      </c>
      <c r="N15" s="88" t="inlineStr">
        <is>
          <t>Approved</t>
        </is>
      </c>
      <c r="O15" s="72" t="n">
        <v>45946</v>
      </c>
      <c r="P15" s="91" t="n">
        <v>0</v>
      </c>
      <c r="Q15" s="70" t="inlineStr">
        <is>
          <t>Maria Kowalski</t>
        </is>
      </c>
      <c r="R15" s="70" t="inlineStr">
        <is>
          <t>Marco Bianchi</t>
        </is>
      </c>
      <c r="S15" s="70" t="inlineStr"/>
    </row>
    <row r="16" ht="18" customHeight="1">
      <c r="A16" s="114" t="inlineStr">
        <is>
          <t>PO-2025-1015</t>
        </is>
      </c>
      <c r="B16" s="85" t="inlineStr">
        <is>
          <t>EVT-2025-005</t>
        </is>
      </c>
      <c r="C16" s="86" t="inlineStr">
        <is>
          <t>PharmaLogix</t>
        </is>
      </c>
      <c r="D16" s="86" t="inlineStr">
        <is>
          <t>Logistics &amp; Transport</t>
        </is>
      </c>
      <c r="E16" s="89" t="n">
        <v>45891</v>
      </c>
      <c r="F16" s="89" t="n">
        <v>45898</v>
      </c>
      <c r="G16" s="90" t="n">
        <v>7</v>
      </c>
      <c r="H16" s="87" t="n">
        <v>74358.48</v>
      </c>
      <c r="I16" s="85" t="inlineStr">
        <is>
          <t>EUR</t>
        </is>
      </c>
      <c r="J16" s="85" t="inlineStr">
        <is>
          <t>CC-7046</t>
        </is>
      </c>
      <c r="K16" s="85" t="inlineStr">
        <is>
          <t>GL-6315</t>
        </is>
      </c>
      <c r="L16" s="88" t="inlineStr">
        <is>
          <t>Sent to Supplier</t>
        </is>
      </c>
      <c r="M16" s="85" t="inlineStr">
        <is>
          <t>INV-01015</t>
        </is>
      </c>
      <c r="N16" s="69" t="inlineStr">
        <is>
          <t>Paid</t>
        </is>
      </c>
      <c r="O16" s="89" t="n">
        <v>45946</v>
      </c>
      <c r="P16" s="90" t="n">
        <v>0</v>
      </c>
      <c r="Q16" s="86" t="inlineStr">
        <is>
          <t>Lucas Dupont</t>
        </is>
      </c>
      <c r="R16" s="86" t="inlineStr">
        <is>
          <t>David O'Brien</t>
        </is>
      </c>
      <c r="S16" s="86" t="inlineStr"/>
    </row>
    <row r="17" ht="18" customHeight="1">
      <c r="A17" s="115" t="inlineStr">
        <is>
          <t>PO-2025-1016</t>
        </is>
      </c>
      <c r="B17" s="71" t="inlineStr">
        <is>
          <t>EVT-2025-005</t>
        </is>
      </c>
      <c r="C17" s="70" t="inlineStr">
        <is>
          <t>Catering Excellence</t>
        </is>
      </c>
      <c r="D17" s="70" t="inlineStr">
        <is>
          <t>F&amp;B / Catering</t>
        </is>
      </c>
      <c r="E17" s="72" t="n">
        <v>45923</v>
      </c>
      <c r="F17" s="72" t="n">
        <v>45927</v>
      </c>
      <c r="G17" s="91" t="n">
        <v>4</v>
      </c>
      <c r="H17" s="73" t="n">
        <v>51141.74</v>
      </c>
      <c r="I17" s="71" t="inlineStr">
        <is>
          <t>EUR</t>
        </is>
      </c>
      <c r="J17" s="71" t="inlineStr">
        <is>
          <t>CC-8511</t>
        </is>
      </c>
      <c r="K17" s="71" t="inlineStr">
        <is>
          <t>GL-6325</t>
        </is>
      </c>
      <c r="L17" s="93" t="inlineStr">
        <is>
          <t>Cancelled</t>
        </is>
      </c>
      <c r="M17" s="71" t="inlineStr"/>
      <c r="N17" s="95" t="inlineStr">
        <is>
          <t>Invoiced</t>
        </is>
      </c>
      <c r="O17" s="72" t="n">
        <v>45953</v>
      </c>
      <c r="P17" s="91" t="n">
        <v>0</v>
      </c>
      <c r="Q17" s="70" t="inlineStr">
        <is>
          <t>Thomas Dubois</t>
        </is>
      </c>
      <c r="R17" s="70" t="inlineStr">
        <is>
          <t>Lucas Dupont</t>
        </is>
      </c>
      <c r="S17" s="70" t="inlineStr"/>
    </row>
    <row r="18" ht="18" customHeight="1">
      <c r="A18" s="114" t="inlineStr">
        <is>
          <t>PO-2025-1017</t>
        </is>
      </c>
      <c r="B18" s="85" t="inlineStr">
        <is>
          <t>EVT-2025-006</t>
        </is>
      </c>
      <c r="C18" s="86" t="inlineStr">
        <is>
          <t>PrintMed Solutions</t>
        </is>
      </c>
      <c r="D18" s="86" t="inlineStr">
        <is>
          <t>Print &amp; Production</t>
        </is>
      </c>
      <c r="E18" s="89" t="n">
        <v>45714</v>
      </c>
      <c r="F18" s="89" t="n">
        <v>45718</v>
      </c>
      <c r="G18" s="90" t="n">
        <v>4</v>
      </c>
      <c r="H18" s="87" t="n">
        <v>19526.65</v>
      </c>
      <c r="I18" s="85" t="inlineStr">
        <is>
          <t>EUR</t>
        </is>
      </c>
      <c r="J18" s="85" t="inlineStr">
        <is>
          <t>CC-9756</t>
        </is>
      </c>
      <c r="K18" s="85" t="inlineStr">
        <is>
          <t>GL-6315</t>
        </is>
      </c>
      <c r="L18" s="76" t="inlineStr">
        <is>
          <t>Pending Approval</t>
        </is>
      </c>
      <c r="M18" s="85" t="inlineStr">
        <is>
          <t>INV-01017</t>
        </is>
      </c>
      <c r="N18" s="96" t="inlineStr">
        <is>
          <t>Pending</t>
        </is>
      </c>
      <c r="O18" s="89" t="n">
        <v>45798</v>
      </c>
      <c r="P18" s="90" t="n">
        <v>0</v>
      </c>
      <c r="Q18" s="86" t="inlineStr">
        <is>
          <t>Emma Johansson</t>
        </is>
      </c>
      <c r="R18" s="86" t="inlineStr">
        <is>
          <t>James Wilson</t>
        </is>
      </c>
      <c r="S18" s="86" t="inlineStr"/>
    </row>
    <row r="19" ht="18" customHeight="1">
      <c r="A19" s="115" t="inlineStr">
        <is>
          <t>PO-2025-1018</t>
        </is>
      </c>
      <c r="B19" s="71" t="inlineStr">
        <is>
          <t>EVT-2025-007</t>
        </is>
      </c>
      <c r="C19" s="70" t="inlineStr">
        <is>
          <t>Translingua Pro</t>
        </is>
      </c>
      <c r="D19" s="70" t="inlineStr">
        <is>
          <t>Translation &amp; Interpretation</t>
        </is>
      </c>
      <c r="E19" s="72" t="n">
        <v>45628</v>
      </c>
      <c r="F19" s="72" t="n">
        <v>45635</v>
      </c>
      <c r="G19" s="91" t="n">
        <v>7</v>
      </c>
      <c r="H19" s="73" t="n">
        <v>57022.11</v>
      </c>
      <c r="I19" s="71" t="inlineStr">
        <is>
          <t>EUR</t>
        </is>
      </c>
      <c r="J19" s="71" t="inlineStr">
        <is>
          <t>CC-6289</t>
        </is>
      </c>
      <c r="K19" s="71" t="inlineStr">
        <is>
          <t>GL-6330</t>
        </is>
      </c>
      <c r="L19" s="69" t="inlineStr">
        <is>
          <t>Approved</t>
        </is>
      </c>
      <c r="M19" s="71" t="inlineStr"/>
      <c r="N19" s="69" t="inlineStr">
        <is>
          <t>Paid</t>
        </is>
      </c>
      <c r="O19" s="72" t="n">
        <v>45689</v>
      </c>
      <c r="P19" s="91" t="n">
        <v>0</v>
      </c>
      <c r="Q19" s="70" t="inlineStr">
        <is>
          <t>Lucas Dupont</t>
        </is>
      </c>
      <c r="R19" s="70" t="inlineStr">
        <is>
          <t>Lena Schneider</t>
        </is>
      </c>
      <c r="S19" s="70" t="inlineStr"/>
    </row>
    <row r="20" ht="18" customHeight="1">
      <c r="A20" s="114" t="inlineStr">
        <is>
          <t>PO-2025-1019</t>
        </is>
      </c>
      <c r="B20" s="85" t="inlineStr">
        <is>
          <t>EVT-2025-007</t>
        </is>
      </c>
      <c r="C20" s="86" t="inlineStr">
        <is>
          <t>KOL Connect</t>
        </is>
      </c>
      <c r="D20" s="86" t="inlineStr">
        <is>
          <t>Speaker Management</t>
        </is>
      </c>
      <c r="E20" s="89" t="n">
        <v>45630</v>
      </c>
      <c r="F20" s="89" t="n">
        <v>45635</v>
      </c>
      <c r="G20" s="90" t="n">
        <v>5</v>
      </c>
      <c r="H20" s="87" t="n">
        <v>13282.07</v>
      </c>
      <c r="I20" s="85" t="inlineStr">
        <is>
          <t>EUR</t>
        </is>
      </c>
      <c r="J20" s="85" t="inlineStr">
        <is>
          <t>CC-8951</t>
        </is>
      </c>
      <c r="K20" s="85" t="inlineStr">
        <is>
          <t>GL-6330</t>
        </is>
      </c>
      <c r="L20" s="69" t="inlineStr">
        <is>
          <t>Approved</t>
        </is>
      </c>
      <c r="M20" s="85" t="inlineStr">
        <is>
          <t>INV-01019</t>
        </is>
      </c>
      <c r="N20" s="93" t="inlineStr">
        <is>
          <t>Overdue</t>
        </is>
      </c>
      <c r="O20" s="89" t="n">
        <v>45696</v>
      </c>
      <c r="P20" s="94" t="n">
        <v>501</v>
      </c>
      <c r="Q20" s="86" t="inlineStr">
        <is>
          <t>Maria Kowalski</t>
        </is>
      </c>
      <c r="R20" s="86" t="inlineStr">
        <is>
          <t>Ana García</t>
        </is>
      </c>
      <c r="S20" s="86" t="inlineStr"/>
    </row>
    <row r="21" ht="18" customHeight="1">
      <c r="A21" s="115" t="inlineStr">
        <is>
          <t>PO-2025-1020</t>
        </is>
      </c>
      <c r="B21" s="71" t="inlineStr">
        <is>
          <t>EVT-2025-008</t>
        </is>
      </c>
      <c r="C21" s="70" t="inlineStr">
        <is>
          <t>TechEvent Systems</t>
        </is>
      </c>
      <c r="D21" s="70" t="inlineStr">
        <is>
          <t>Registration &amp; Tech</t>
        </is>
      </c>
      <c r="E21" s="72" t="n">
        <v>45949</v>
      </c>
      <c r="F21" s="72" t="n">
        <v>45953</v>
      </c>
      <c r="G21" s="91" t="n">
        <v>4</v>
      </c>
      <c r="H21" s="73" t="n">
        <v>63620.48</v>
      </c>
      <c r="I21" s="71" t="inlineStr">
        <is>
          <t>EUR</t>
        </is>
      </c>
      <c r="J21" s="71" t="inlineStr">
        <is>
          <t>CC-8529</t>
        </is>
      </c>
      <c r="K21" s="71" t="inlineStr">
        <is>
          <t>GL-6310</t>
        </is>
      </c>
      <c r="L21" s="96" t="inlineStr">
        <is>
          <t>Draft</t>
        </is>
      </c>
      <c r="M21" s="71" t="inlineStr"/>
      <c r="N21" s="96" t="inlineStr">
        <is>
          <t>Cancelled</t>
        </is>
      </c>
      <c r="O21" s="72" t="n">
        <v>45981</v>
      </c>
      <c r="P21" s="91" t="n">
        <v>0</v>
      </c>
      <c r="Q21" s="70" t="inlineStr">
        <is>
          <t>Sophie Müller</t>
        </is>
      </c>
      <c r="R21" s="70" t="inlineStr">
        <is>
          <t>Carlos Navarro</t>
        </is>
      </c>
      <c r="S21" s="70" t="inlineStr"/>
    </row>
    <row r="22" ht="18" customHeight="1">
      <c r="A22" s="114" t="inlineStr">
        <is>
          <t>PO-2025-1021</t>
        </is>
      </c>
      <c r="B22" s="85" t="inlineStr">
        <is>
          <t>EVT-2025-008</t>
        </is>
      </c>
      <c r="C22" s="86" t="inlineStr">
        <is>
          <t>InterCongress PCO</t>
        </is>
      </c>
      <c r="D22" s="86" t="inlineStr">
        <is>
          <t>PCO / Event Agency</t>
        </is>
      </c>
      <c r="E22" s="89" t="n">
        <v>45912</v>
      </c>
      <c r="F22" s="89" t="n">
        <v>45915</v>
      </c>
      <c r="G22" s="90" t="n">
        <v>3</v>
      </c>
      <c r="H22" s="87" t="n">
        <v>2200.09</v>
      </c>
      <c r="I22" s="85" t="inlineStr">
        <is>
          <t>EUR</t>
        </is>
      </c>
      <c r="J22" s="85" t="inlineStr">
        <is>
          <t>CC-8009</t>
        </is>
      </c>
      <c r="K22" s="85" t="inlineStr">
        <is>
          <t>GL-6311</t>
        </is>
      </c>
      <c r="L22" s="93" t="inlineStr">
        <is>
          <t>Cancelled</t>
        </is>
      </c>
      <c r="M22" s="85" t="inlineStr"/>
      <c r="N22" s="93" t="inlineStr">
        <is>
          <t>Overdue</t>
        </is>
      </c>
      <c r="O22" s="89" t="n">
        <v>45971</v>
      </c>
      <c r="P22" s="94" t="n">
        <v>226</v>
      </c>
      <c r="Q22" s="86" t="inlineStr">
        <is>
          <t>Sophie Müller</t>
        </is>
      </c>
      <c r="R22" s="86" t="inlineStr">
        <is>
          <t>Maria Kowalski</t>
        </is>
      </c>
      <c r="S22" s="86" t="inlineStr"/>
    </row>
    <row r="23" ht="18" customHeight="1">
      <c r="A23" s="115" t="inlineStr">
        <is>
          <t>PO-2025-1022</t>
        </is>
      </c>
      <c r="B23" s="71" t="inlineStr">
        <is>
          <t>EVT-2025-009</t>
        </is>
      </c>
      <c r="C23" s="70" t="inlineStr">
        <is>
          <t>TechEvent Systems</t>
        </is>
      </c>
      <c r="D23" s="70" t="inlineStr">
        <is>
          <t>Registration &amp; Tech</t>
        </is>
      </c>
      <c r="E23" s="72" t="n">
        <v>45821</v>
      </c>
      <c r="F23" s="72" t="n">
        <v>45826</v>
      </c>
      <c r="G23" s="91" t="n">
        <v>5</v>
      </c>
      <c r="H23" s="73" t="n">
        <v>27930.32</v>
      </c>
      <c r="I23" s="71" t="inlineStr">
        <is>
          <t>EUR</t>
        </is>
      </c>
      <c r="J23" s="71" t="inlineStr">
        <is>
          <t>CC-5489</t>
        </is>
      </c>
      <c r="K23" s="71" t="inlineStr">
        <is>
          <t>GL-6310</t>
        </is>
      </c>
      <c r="L23" s="93" t="inlineStr">
        <is>
          <t>Cancelled</t>
        </is>
      </c>
      <c r="M23" s="71" t="inlineStr">
        <is>
          <t>INV-01022</t>
        </is>
      </c>
      <c r="N23" s="95" t="inlineStr">
        <is>
          <t>Invoiced</t>
        </is>
      </c>
      <c r="O23" s="72" t="n">
        <v>45870</v>
      </c>
      <c r="P23" s="91" t="n">
        <v>0</v>
      </c>
      <c r="Q23" s="70" t="inlineStr">
        <is>
          <t>Lucas Dupont</t>
        </is>
      </c>
      <c r="R23" s="70" t="inlineStr">
        <is>
          <t>Isabel Ferreira</t>
        </is>
      </c>
      <c r="S23" s="70" t="inlineStr"/>
    </row>
    <row r="24" ht="18" customHeight="1">
      <c r="A24" s="114" t="inlineStr">
        <is>
          <t>PO-2025-1023</t>
        </is>
      </c>
      <c r="B24" s="85" t="inlineStr">
        <is>
          <t>EVT-2025-009</t>
        </is>
      </c>
      <c r="C24" s="86" t="inlineStr">
        <is>
          <t>MedAudio AV Solutions</t>
        </is>
      </c>
      <c r="D24" s="86" t="inlineStr">
        <is>
          <t>AV &amp; Technology</t>
        </is>
      </c>
      <c r="E24" s="89" t="n">
        <v>45834</v>
      </c>
      <c r="F24" s="89" t="n">
        <v>45842</v>
      </c>
      <c r="G24" s="90" t="n">
        <v>8</v>
      </c>
      <c r="H24" s="87" t="n">
        <v>56404.88</v>
      </c>
      <c r="I24" s="85" t="inlineStr">
        <is>
          <t>EUR</t>
        </is>
      </c>
      <c r="J24" s="85" t="inlineStr">
        <is>
          <t>CC-3711</t>
        </is>
      </c>
      <c r="K24" s="85" t="inlineStr">
        <is>
          <t>GL-6310</t>
        </is>
      </c>
      <c r="L24" s="88" t="inlineStr">
        <is>
          <t>Sent to Supplier</t>
        </is>
      </c>
      <c r="M24" s="85" t="inlineStr"/>
      <c r="N24" s="96" t="inlineStr">
        <is>
          <t>Cancelled</t>
        </is>
      </c>
      <c r="O24" s="89" t="n">
        <v>45869</v>
      </c>
      <c r="P24" s="90" t="n">
        <v>0</v>
      </c>
      <c r="Q24" s="86" t="inlineStr">
        <is>
          <t>Maria Kowalski</t>
        </is>
      </c>
      <c r="R24" s="86" t="inlineStr">
        <is>
          <t>Isabel Ferreira</t>
        </is>
      </c>
      <c r="S24" s="86" t="inlineStr"/>
    </row>
    <row r="25" ht="18" customHeight="1">
      <c r="A25" s="115" t="inlineStr">
        <is>
          <t>PO-2025-1024</t>
        </is>
      </c>
      <c r="B25" s="71" t="inlineStr">
        <is>
          <t>EVT-2025-009</t>
        </is>
      </c>
      <c r="C25" s="70" t="inlineStr">
        <is>
          <t>Translingua Pro</t>
        </is>
      </c>
      <c r="D25" s="70" t="inlineStr">
        <is>
          <t>Translation &amp; Interpretation</t>
        </is>
      </c>
      <c r="E25" s="72" t="n">
        <v>45796</v>
      </c>
      <c r="F25" s="72" t="n">
        <v>45802</v>
      </c>
      <c r="G25" s="91" t="n">
        <v>6</v>
      </c>
      <c r="H25" s="73" t="n">
        <v>26817.75</v>
      </c>
      <c r="I25" s="71" t="inlineStr">
        <is>
          <t>EUR</t>
        </is>
      </c>
      <c r="J25" s="71" t="inlineStr">
        <is>
          <t>CC-8032</t>
        </is>
      </c>
      <c r="K25" s="71" t="inlineStr">
        <is>
          <t>GL-6325</t>
        </is>
      </c>
      <c r="L25" s="96" t="inlineStr">
        <is>
          <t>Draft</t>
        </is>
      </c>
      <c r="M25" s="71" t="inlineStr">
        <is>
          <t>INV-01024</t>
        </is>
      </c>
      <c r="N25" s="96" t="inlineStr">
        <is>
          <t>Cancelled</t>
        </is>
      </c>
      <c r="O25" s="72" t="n">
        <v>45872</v>
      </c>
      <c r="P25" s="91" t="n">
        <v>0</v>
      </c>
      <c r="Q25" s="70" t="inlineStr">
        <is>
          <t>Thomas Dubois</t>
        </is>
      </c>
      <c r="R25" s="70" t="inlineStr">
        <is>
          <t>Marco Bianchi</t>
        </is>
      </c>
      <c r="S25" s="70" t="inlineStr"/>
    </row>
    <row r="26" ht="18" customHeight="1">
      <c r="A26" s="114" t="inlineStr">
        <is>
          <t>PO-2025-1025</t>
        </is>
      </c>
      <c r="B26" s="85" t="inlineStr">
        <is>
          <t>EVT-2025-009</t>
        </is>
      </c>
      <c r="C26" s="86" t="inlineStr">
        <is>
          <t>PrintMed Solutions</t>
        </is>
      </c>
      <c r="D26" s="86" t="inlineStr">
        <is>
          <t>Print &amp; Production</t>
        </is>
      </c>
      <c r="E26" s="89" t="n">
        <v>45837</v>
      </c>
      <c r="F26" s="89" t="n">
        <v>45843</v>
      </c>
      <c r="G26" s="90" t="n">
        <v>6</v>
      </c>
      <c r="H26" s="87" t="n">
        <v>53767.73</v>
      </c>
      <c r="I26" s="85" t="inlineStr">
        <is>
          <t>EUR</t>
        </is>
      </c>
      <c r="J26" s="85" t="inlineStr">
        <is>
          <t>CC-8812</t>
        </is>
      </c>
      <c r="K26" s="85" t="inlineStr">
        <is>
          <t>GL-6310</t>
        </is>
      </c>
      <c r="L26" s="76" t="inlineStr">
        <is>
          <t>Pending Approval</t>
        </is>
      </c>
      <c r="M26" s="85" t="inlineStr">
        <is>
          <t>INV-01025</t>
        </is>
      </c>
      <c r="N26" s="69" t="inlineStr">
        <is>
          <t>Paid</t>
        </is>
      </c>
      <c r="O26" s="89" t="n">
        <v>45867</v>
      </c>
      <c r="P26" s="90" t="n">
        <v>0</v>
      </c>
      <c r="Q26" s="86" t="inlineStr">
        <is>
          <t>David O'Brien</t>
        </is>
      </c>
      <c r="R26" s="86" t="inlineStr">
        <is>
          <t>James Wilson</t>
        </is>
      </c>
      <c r="S26" s="86" t="inlineStr"/>
    </row>
    <row r="27" ht="18" customHeight="1">
      <c r="A27" s="115" t="inlineStr">
        <is>
          <t>PO-2025-1026</t>
        </is>
      </c>
      <c r="B27" s="71" t="inlineStr">
        <is>
          <t>EVT-2025-010</t>
        </is>
      </c>
      <c r="C27" s="70" t="inlineStr">
        <is>
          <t>PrintMed Solutions</t>
        </is>
      </c>
      <c r="D27" s="70" t="inlineStr">
        <is>
          <t>Print &amp; Production</t>
        </is>
      </c>
      <c r="E27" s="72" t="n">
        <v>45691</v>
      </c>
      <c r="F27" s="72" t="n">
        <v>45701</v>
      </c>
      <c r="G27" s="91" t="n">
        <v>10</v>
      </c>
      <c r="H27" s="73" t="n">
        <v>9828.440000000001</v>
      </c>
      <c r="I27" s="71" t="inlineStr">
        <is>
          <t>EUR</t>
        </is>
      </c>
      <c r="J27" s="71" t="inlineStr">
        <is>
          <t>CC-1152</t>
        </is>
      </c>
      <c r="K27" s="71" t="inlineStr">
        <is>
          <t>GL-6310</t>
        </is>
      </c>
      <c r="L27" s="93" t="inlineStr">
        <is>
          <t>Cancelled</t>
        </is>
      </c>
      <c r="M27" s="71" t="inlineStr">
        <is>
          <t>INV-01026</t>
        </is>
      </c>
      <c r="N27" s="69" t="inlineStr">
        <is>
          <t>Paid</t>
        </is>
      </c>
      <c r="O27" s="72" t="n">
        <v>45754</v>
      </c>
      <c r="P27" s="91" t="n">
        <v>0</v>
      </c>
      <c r="Q27" s="70" t="inlineStr">
        <is>
          <t>Lucas Dupont</t>
        </is>
      </c>
      <c r="R27" s="70" t="inlineStr">
        <is>
          <t>Marco Bianchi</t>
        </is>
      </c>
      <c r="S27" s="70" t="inlineStr"/>
    </row>
    <row r="28" ht="18" customHeight="1">
      <c r="A28" s="114" t="inlineStr">
        <is>
          <t>PO-2025-1027</t>
        </is>
      </c>
      <c r="B28" s="85" t="inlineStr">
        <is>
          <t>EVT-2025-010</t>
        </is>
      </c>
      <c r="C28" s="86" t="inlineStr">
        <is>
          <t>DigitalPharma Studio</t>
        </is>
      </c>
      <c r="D28" s="86" t="inlineStr">
        <is>
          <t>Digital &amp; Web</t>
        </is>
      </c>
      <c r="E28" s="89" t="n">
        <v>45663</v>
      </c>
      <c r="F28" s="89" t="n">
        <v>45672</v>
      </c>
      <c r="G28" s="90" t="n">
        <v>9</v>
      </c>
      <c r="H28" s="87" t="n">
        <v>33978.33</v>
      </c>
      <c r="I28" s="85" t="inlineStr">
        <is>
          <t>EUR</t>
        </is>
      </c>
      <c r="J28" s="85" t="inlineStr">
        <is>
          <t>CC-3165</t>
        </is>
      </c>
      <c r="K28" s="85" t="inlineStr">
        <is>
          <t>GL-6315</t>
        </is>
      </c>
      <c r="L28" s="96" t="inlineStr">
        <is>
          <t>Draft</t>
        </is>
      </c>
      <c r="M28" s="85" t="inlineStr">
        <is>
          <t>INV-01027</t>
        </is>
      </c>
      <c r="N28" s="96" t="inlineStr">
        <is>
          <t>Pending</t>
        </is>
      </c>
      <c r="O28" s="89" t="n">
        <v>45748</v>
      </c>
      <c r="P28" s="90" t="n">
        <v>0</v>
      </c>
      <c r="Q28" s="86" t="inlineStr">
        <is>
          <t>James Wilson</t>
        </is>
      </c>
      <c r="R28" s="86" t="inlineStr">
        <is>
          <t>Emma Johansson</t>
        </is>
      </c>
      <c r="S28" s="86" t="inlineStr"/>
    </row>
    <row r="29" ht="18" customHeight="1">
      <c r="A29" s="115" t="inlineStr">
        <is>
          <t>PO-2025-1028</t>
        </is>
      </c>
      <c r="B29" s="71" t="inlineStr">
        <is>
          <t>EVT-2025-011</t>
        </is>
      </c>
      <c r="C29" s="70" t="inlineStr">
        <is>
          <t>PharmaLogix</t>
        </is>
      </c>
      <c r="D29" s="70" t="inlineStr">
        <is>
          <t>Logistics &amp; Transport</t>
        </is>
      </c>
      <c r="E29" s="72" t="n">
        <v>45941</v>
      </c>
      <c r="F29" s="72" t="n">
        <v>45945</v>
      </c>
      <c r="G29" s="91" t="n">
        <v>4</v>
      </c>
      <c r="H29" s="73" t="n">
        <v>8264.6</v>
      </c>
      <c r="I29" s="71" t="inlineStr">
        <is>
          <t>EUR</t>
        </is>
      </c>
      <c r="J29" s="71" t="inlineStr">
        <is>
          <t>CC-2690</t>
        </is>
      </c>
      <c r="K29" s="71" t="inlineStr">
        <is>
          <t>GL-6312</t>
        </is>
      </c>
      <c r="L29" s="69" t="inlineStr">
        <is>
          <t>Approved</t>
        </is>
      </c>
      <c r="M29" s="71" t="inlineStr">
        <is>
          <t>INV-01028</t>
        </is>
      </c>
      <c r="N29" s="96" t="inlineStr">
        <is>
          <t>Cancelled</t>
        </is>
      </c>
      <c r="O29" s="72" t="n">
        <v>45976</v>
      </c>
      <c r="P29" s="91" t="n">
        <v>0</v>
      </c>
      <c r="Q29" s="70" t="inlineStr">
        <is>
          <t>Isabel Ferreira</t>
        </is>
      </c>
      <c r="R29" s="70" t="inlineStr">
        <is>
          <t>Sophie Müller</t>
        </is>
      </c>
      <c r="S29" s="70" t="inlineStr"/>
    </row>
    <row r="30" ht="18" customHeight="1">
      <c r="A30" s="114" t="inlineStr">
        <is>
          <t>PO-2025-1029</t>
        </is>
      </c>
      <c r="B30" s="85" t="inlineStr">
        <is>
          <t>EVT-2025-011</t>
        </is>
      </c>
      <c r="C30" s="86" t="inlineStr">
        <is>
          <t>DigitalPharma Studio</t>
        </is>
      </c>
      <c r="D30" s="86" t="inlineStr">
        <is>
          <t>Digital &amp; Web</t>
        </is>
      </c>
      <c r="E30" s="89" t="n">
        <v>45910</v>
      </c>
      <c r="F30" s="89" t="n">
        <v>45915</v>
      </c>
      <c r="G30" s="90" t="n">
        <v>5</v>
      </c>
      <c r="H30" s="87" t="n">
        <v>26699.57</v>
      </c>
      <c r="I30" s="85" t="inlineStr">
        <is>
          <t>EUR</t>
        </is>
      </c>
      <c r="J30" s="85" t="inlineStr">
        <is>
          <t>CC-3340</t>
        </is>
      </c>
      <c r="K30" s="85" t="inlineStr">
        <is>
          <t>GL-6310</t>
        </is>
      </c>
      <c r="L30" s="116" t="inlineStr">
        <is>
          <t>Closed</t>
        </is>
      </c>
      <c r="M30" s="85" t="inlineStr">
        <is>
          <t>INV-01029</t>
        </is>
      </c>
      <c r="N30" s="69" t="inlineStr">
        <is>
          <t>Paid</t>
        </is>
      </c>
      <c r="O30" s="89" t="n">
        <v>45964</v>
      </c>
      <c r="P30" s="90" t="n">
        <v>0</v>
      </c>
      <c r="Q30" s="86" t="inlineStr">
        <is>
          <t>David O'Brien</t>
        </is>
      </c>
      <c r="R30" s="86" t="inlineStr">
        <is>
          <t>Ana García</t>
        </is>
      </c>
      <c r="S30" s="86" t="inlineStr"/>
    </row>
    <row r="31" ht="18" customHeight="1">
      <c r="A31" s="115" t="inlineStr">
        <is>
          <t>PO-2025-1030</t>
        </is>
      </c>
      <c r="B31" s="71" t="inlineStr">
        <is>
          <t>EVT-2025-011</t>
        </is>
      </c>
      <c r="C31" s="70" t="inlineStr">
        <is>
          <t>KOL Connect</t>
        </is>
      </c>
      <c r="D31" s="70" t="inlineStr">
        <is>
          <t>Speaker Management</t>
        </is>
      </c>
      <c r="E31" s="72" t="n">
        <v>45910</v>
      </c>
      <c r="F31" s="72" t="n">
        <v>45915</v>
      </c>
      <c r="G31" s="91" t="n">
        <v>5</v>
      </c>
      <c r="H31" s="73" t="n">
        <v>50161.84</v>
      </c>
      <c r="I31" s="71" t="inlineStr">
        <is>
          <t>EUR</t>
        </is>
      </c>
      <c r="J31" s="71" t="inlineStr">
        <is>
          <t>CC-8210</t>
        </is>
      </c>
      <c r="K31" s="71" t="inlineStr">
        <is>
          <t>GL-6312</t>
        </is>
      </c>
      <c r="L31" s="93" t="inlineStr">
        <is>
          <t>Cancelled</t>
        </is>
      </c>
      <c r="M31" s="71" t="inlineStr">
        <is>
          <t>INV-01030</t>
        </is>
      </c>
      <c r="N31" s="95" t="inlineStr">
        <is>
          <t>Invoiced</t>
        </is>
      </c>
      <c r="O31" s="72" t="n">
        <v>45979</v>
      </c>
      <c r="P31" s="91" t="n">
        <v>0</v>
      </c>
      <c r="Q31" s="70" t="inlineStr">
        <is>
          <t>James Wilson</t>
        </is>
      </c>
      <c r="R31" s="70" t="inlineStr">
        <is>
          <t>Maria Kowalski</t>
        </is>
      </c>
      <c r="S31" s="70" t="inlineStr"/>
    </row>
    <row r="32" ht="18" customHeight="1">
      <c r="A32" s="114" t="inlineStr">
        <is>
          <t>PO-2025-1031</t>
        </is>
      </c>
      <c r="B32" s="85" t="inlineStr">
        <is>
          <t>EVT-2025-012</t>
        </is>
      </c>
      <c r="C32" s="86" t="inlineStr">
        <is>
          <t>MedComm Agency</t>
        </is>
      </c>
      <c r="D32" s="86" t="inlineStr">
        <is>
          <t>Medical Communication</t>
        </is>
      </c>
      <c r="E32" s="89" t="n">
        <v>45827</v>
      </c>
      <c r="F32" s="89" t="n">
        <v>45832</v>
      </c>
      <c r="G32" s="90" t="n">
        <v>5</v>
      </c>
      <c r="H32" s="87" t="n">
        <v>61308.84</v>
      </c>
      <c r="I32" s="85" t="inlineStr">
        <is>
          <t>EUR</t>
        </is>
      </c>
      <c r="J32" s="85" t="inlineStr">
        <is>
          <t>CC-7745</t>
        </is>
      </c>
      <c r="K32" s="85" t="inlineStr">
        <is>
          <t>GL-6320</t>
        </is>
      </c>
      <c r="L32" s="93" t="inlineStr">
        <is>
          <t>Cancelled</t>
        </is>
      </c>
      <c r="M32" s="85" t="inlineStr">
        <is>
          <t>INV-01031</t>
        </is>
      </c>
      <c r="N32" s="69" t="inlineStr">
        <is>
          <t>Paid</t>
        </is>
      </c>
      <c r="O32" s="89" t="n">
        <v>45904</v>
      </c>
      <c r="P32" s="90" t="n">
        <v>0</v>
      </c>
      <c r="Q32" s="86" t="inlineStr">
        <is>
          <t>Carlos Navarro</t>
        </is>
      </c>
      <c r="R32" s="86" t="inlineStr">
        <is>
          <t>James Wilson</t>
        </is>
      </c>
      <c r="S32" s="86" t="inlineStr"/>
    </row>
    <row r="33" ht="18" customHeight="1">
      <c r="A33" s="115" t="inlineStr">
        <is>
          <t>PO-2025-1032</t>
        </is>
      </c>
      <c r="B33" s="71" t="inlineStr">
        <is>
          <t>EVT-2025-013</t>
        </is>
      </c>
      <c r="C33" s="70" t="inlineStr">
        <is>
          <t>HealthMarketing Group</t>
        </is>
      </c>
      <c r="D33" s="70" t="inlineStr">
        <is>
          <t>Marketing Agency</t>
        </is>
      </c>
      <c r="E33" s="72" t="n">
        <v>45865</v>
      </c>
      <c r="F33" s="72" t="n">
        <v>45869</v>
      </c>
      <c r="G33" s="91" t="n">
        <v>4</v>
      </c>
      <c r="H33" s="73" t="n">
        <v>6377.3</v>
      </c>
      <c r="I33" s="71" t="inlineStr">
        <is>
          <t>EUR</t>
        </is>
      </c>
      <c r="J33" s="71" t="inlineStr">
        <is>
          <t>CC-3293</t>
        </is>
      </c>
      <c r="K33" s="71" t="inlineStr">
        <is>
          <t>GL-6330</t>
        </is>
      </c>
      <c r="L33" s="96" t="inlineStr">
        <is>
          <t>Draft</t>
        </is>
      </c>
      <c r="M33" s="71" t="inlineStr">
        <is>
          <t>INV-01032</t>
        </is>
      </c>
      <c r="N33" s="88" t="inlineStr">
        <is>
          <t>Approved</t>
        </is>
      </c>
      <c r="O33" s="72" t="n">
        <v>45900</v>
      </c>
      <c r="P33" s="91" t="n">
        <v>0</v>
      </c>
      <c r="Q33" s="70" t="inlineStr">
        <is>
          <t>David O'Brien</t>
        </is>
      </c>
      <c r="R33" s="70" t="inlineStr">
        <is>
          <t>Thomas Dubois</t>
        </is>
      </c>
      <c r="S33" s="70" t="inlineStr"/>
    </row>
    <row r="34" ht="18" customHeight="1">
      <c r="A34" s="114" t="inlineStr">
        <is>
          <t>PO-2025-1033</t>
        </is>
      </c>
      <c r="B34" s="85" t="inlineStr">
        <is>
          <t>EVT-2025-013</t>
        </is>
      </c>
      <c r="C34" s="86" t="inlineStr">
        <is>
          <t>AVIAWORLD Travel</t>
        </is>
      </c>
      <c r="D34" s="86" t="inlineStr">
        <is>
          <t>Travel &amp; Air</t>
        </is>
      </c>
      <c r="E34" s="89" t="n">
        <v>45852</v>
      </c>
      <c r="F34" s="89" t="n">
        <v>45860</v>
      </c>
      <c r="G34" s="90" t="n">
        <v>8</v>
      </c>
      <c r="H34" s="87" t="n">
        <v>46142.39</v>
      </c>
      <c r="I34" s="85" t="inlineStr">
        <is>
          <t>EUR</t>
        </is>
      </c>
      <c r="J34" s="85" t="inlineStr">
        <is>
          <t>CC-8035</t>
        </is>
      </c>
      <c r="K34" s="85" t="inlineStr">
        <is>
          <t>GL-6312</t>
        </is>
      </c>
      <c r="L34" s="76" t="inlineStr">
        <is>
          <t>Pending Approval</t>
        </is>
      </c>
      <c r="M34" s="85" t="inlineStr">
        <is>
          <t>INV-01033</t>
        </is>
      </c>
      <c r="N34" s="96" t="inlineStr">
        <is>
          <t>Pending</t>
        </is>
      </c>
      <c r="O34" s="89" t="n">
        <v>45906</v>
      </c>
      <c r="P34" s="90" t="n">
        <v>0</v>
      </c>
      <c r="Q34" s="86" t="inlineStr">
        <is>
          <t>James Wilson</t>
        </is>
      </c>
      <c r="R34" s="86" t="inlineStr">
        <is>
          <t>Isabel Ferreira</t>
        </is>
      </c>
      <c r="S34" s="86" t="inlineStr"/>
    </row>
    <row r="35" ht="18" customHeight="1">
      <c r="A35" s="115" t="inlineStr">
        <is>
          <t>PO-2025-1034</t>
        </is>
      </c>
      <c r="B35" s="71" t="inlineStr">
        <is>
          <t>EVT-2025-013</t>
        </is>
      </c>
      <c r="C35" s="70" t="inlineStr">
        <is>
          <t>TechEvent Systems</t>
        </is>
      </c>
      <c r="D35" s="70" t="inlineStr">
        <is>
          <t>Registration &amp; Tech</t>
        </is>
      </c>
      <c r="E35" s="72" t="n">
        <v>45833</v>
      </c>
      <c r="F35" s="72" t="n">
        <v>45837</v>
      </c>
      <c r="G35" s="91" t="n">
        <v>4</v>
      </c>
      <c r="H35" s="73" t="n">
        <v>50337.41</v>
      </c>
      <c r="I35" s="71" t="inlineStr">
        <is>
          <t>EUR</t>
        </is>
      </c>
      <c r="J35" s="71" t="inlineStr">
        <is>
          <t>CC-5065</t>
        </is>
      </c>
      <c r="K35" s="71" t="inlineStr">
        <is>
          <t>GL-6320</t>
        </is>
      </c>
      <c r="L35" s="116" t="inlineStr">
        <is>
          <t>Closed</t>
        </is>
      </c>
      <c r="M35" s="71" t="inlineStr">
        <is>
          <t>INV-01034</t>
        </is>
      </c>
      <c r="N35" s="93" t="inlineStr">
        <is>
          <t>Overdue</t>
        </is>
      </c>
      <c r="O35" s="72" t="n">
        <v>45904</v>
      </c>
      <c r="P35" s="94" t="n">
        <v>293</v>
      </c>
      <c r="Q35" s="70" t="inlineStr">
        <is>
          <t>David O'Brien</t>
        </is>
      </c>
      <c r="R35" s="70" t="inlineStr">
        <is>
          <t>Thomas Dubois</t>
        </is>
      </c>
      <c r="S35" s="70" t="inlineStr"/>
    </row>
    <row r="36" ht="18" customHeight="1">
      <c r="A36" s="114" t="inlineStr">
        <is>
          <t>PO-2025-1035</t>
        </is>
      </c>
      <c r="B36" s="85" t="inlineStr">
        <is>
          <t>EVT-2025-014</t>
        </is>
      </c>
      <c r="C36" s="86" t="inlineStr">
        <is>
          <t>Translingua Pro</t>
        </is>
      </c>
      <c r="D36" s="86" t="inlineStr">
        <is>
          <t>Translation &amp; Interpretation</t>
        </is>
      </c>
      <c r="E36" s="89" t="n">
        <v>45888</v>
      </c>
      <c r="F36" s="89" t="n">
        <v>45895</v>
      </c>
      <c r="G36" s="90" t="n">
        <v>7</v>
      </c>
      <c r="H36" s="87" t="n">
        <v>21915.48</v>
      </c>
      <c r="I36" s="85" t="inlineStr">
        <is>
          <t>EUR</t>
        </is>
      </c>
      <c r="J36" s="85" t="inlineStr">
        <is>
          <t>CC-1439</t>
        </is>
      </c>
      <c r="K36" s="85" t="inlineStr">
        <is>
          <t>GL-6330</t>
        </is>
      </c>
      <c r="L36" s="93" t="inlineStr">
        <is>
          <t>Cancelled</t>
        </is>
      </c>
      <c r="M36" s="85" t="inlineStr"/>
      <c r="N36" s="69" t="inlineStr">
        <is>
          <t>Paid</t>
        </is>
      </c>
      <c r="O36" s="89" t="n">
        <v>45956</v>
      </c>
      <c r="P36" s="90" t="n">
        <v>0</v>
      </c>
      <c r="Q36" s="86" t="inlineStr">
        <is>
          <t>Isabel Ferreira</t>
        </is>
      </c>
      <c r="R36" s="86" t="inlineStr">
        <is>
          <t>James Wilson</t>
        </is>
      </c>
      <c r="S36" s="86" t="inlineStr"/>
    </row>
    <row r="37" ht="18" customHeight="1">
      <c r="A37" s="115" t="inlineStr">
        <is>
          <t>PO-2025-1036</t>
        </is>
      </c>
      <c r="B37" s="71" t="inlineStr">
        <is>
          <t>EVT-2025-014</t>
        </is>
      </c>
      <c r="C37" s="70" t="inlineStr">
        <is>
          <t>Compliance Expert Ltd</t>
        </is>
      </c>
      <c r="D37" s="70" t="inlineStr">
        <is>
          <t>Compliance &amp; Legal</t>
        </is>
      </c>
      <c r="E37" s="72" t="n">
        <v>45879</v>
      </c>
      <c r="F37" s="72" t="n">
        <v>45885</v>
      </c>
      <c r="G37" s="91" t="n">
        <v>6</v>
      </c>
      <c r="H37" s="73" t="n">
        <v>14322.1</v>
      </c>
      <c r="I37" s="71" t="inlineStr">
        <is>
          <t>EUR</t>
        </is>
      </c>
      <c r="J37" s="71" t="inlineStr">
        <is>
          <t>CC-7418</t>
        </is>
      </c>
      <c r="K37" s="71" t="inlineStr">
        <is>
          <t>GL-6312</t>
        </is>
      </c>
      <c r="L37" s="93" t="inlineStr">
        <is>
          <t>Cancelled</t>
        </is>
      </c>
      <c r="M37" s="71" t="inlineStr">
        <is>
          <t>INV-01036</t>
        </is>
      </c>
      <c r="N37" s="93" t="inlineStr">
        <is>
          <t>Overdue</t>
        </is>
      </c>
      <c r="O37" s="72" t="n">
        <v>45942</v>
      </c>
      <c r="P37" s="94" t="n">
        <v>255</v>
      </c>
      <c r="Q37" s="70" t="inlineStr">
        <is>
          <t>Ana García</t>
        </is>
      </c>
      <c r="R37" s="70" t="inlineStr">
        <is>
          <t>James Wilson</t>
        </is>
      </c>
      <c r="S37" s="70" t="inlineStr"/>
    </row>
    <row r="38" ht="18" customHeight="1">
      <c r="A38" s="114" t="inlineStr">
        <is>
          <t>PO-2025-1037</t>
        </is>
      </c>
      <c r="B38" s="85" t="inlineStr">
        <is>
          <t>EVT-2025-015</t>
        </is>
      </c>
      <c r="C38" s="86" t="inlineStr">
        <is>
          <t>KOL Connect</t>
        </is>
      </c>
      <c r="D38" s="86" t="inlineStr">
        <is>
          <t>Speaker Management</t>
        </is>
      </c>
      <c r="E38" s="89" t="n">
        <v>45924</v>
      </c>
      <c r="F38" s="89" t="n">
        <v>45933</v>
      </c>
      <c r="G38" s="90" t="n">
        <v>9</v>
      </c>
      <c r="H38" s="87" t="n">
        <v>32006.07</v>
      </c>
      <c r="I38" s="85" t="inlineStr">
        <is>
          <t>EUR</t>
        </is>
      </c>
      <c r="J38" s="85" t="inlineStr">
        <is>
          <t>CC-2847</t>
        </is>
      </c>
      <c r="K38" s="85" t="inlineStr">
        <is>
          <t>GL-6311</t>
        </is>
      </c>
      <c r="L38" s="88" t="inlineStr">
        <is>
          <t>Sent to Supplier</t>
        </is>
      </c>
      <c r="M38" s="85" t="inlineStr"/>
      <c r="N38" s="69" t="inlineStr">
        <is>
          <t>Paid</t>
        </is>
      </c>
      <c r="O38" s="89" t="n">
        <v>45985</v>
      </c>
      <c r="P38" s="90" t="n">
        <v>0</v>
      </c>
      <c r="Q38" s="86" t="inlineStr">
        <is>
          <t>Maria Kowalski</t>
        </is>
      </c>
      <c r="R38" s="86" t="inlineStr">
        <is>
          <t>David O'Brien</t>
        </is>
      </c>
      <c r="S38" s="86" t="inlineStr"/>
    </row>
    <row r="39" ht="18" customHeight="1">
      <c r="A39" s="115" t="inlineStr">
        <is>
          <t>PO-2025-1038</t>
        </is>
      </c>
      <c r="B39" s="71" t="inlineStr">
        <is>
          <t>EVT-2025-015</t>
        </is>
      </c>
      <c r="C39" s="70" t="inlineStr">
        <is>
          <t>Catering Excellence</t>
        </is>
      </c>
      <c r="D39" s="70" t="inlineStr">
        <is>
          <t>F&amp;B / Catering</t>
        </is>
      </c>
      <c r="E39" s="72" t="n">
        <v>45944</v>
      </c>
      <c r="F39" s="72" t="n">
        <v>45947</v>
      </c>
      <c r="G39" s="91" t="n">
        <v>3</v>
      </c>
      <c r="H39" s="73" t="n">
        <v>25078.05</v>
      </c>
      <c r="I39" s="71" t="inlineStr">
        <is>
          <t>EUR</t>
        </is>
      </c>
      <c r="J39" s="71" t="inlineStr">
        <is>
          <t>CC-6916</t>
        </is>
      </c>
      <c r="K39" s="71" t="inlineStr">
        <is>
          <t>GL-6312</t>
        </is>
      </c>
      <c r="L39" s="76" t="inlineStr">
        <is>
          <t>Pending Approval</t>
        </is>
      </c>
      <c r="M39" s="71" t="inlineStr">
        <is>
          <t>INV-01038</t>
        </is>
      </c>
      <c r="N39" s="96" t="inlineStr">
        <is>
          <t>Cancelled</t>
        </is>
      </c>
      <c r="O39" s="72" t="n">
        <v>45978</v>
      </c>
      <c r="P39" s="91" t="n">
        <v>0</v>
      </c>
      <c r="Q39" s="70" t="inlineStr">
        <is>
          <t>Emma Johansson</t>
        </is>
      </c>
      <c r="R39" s="70" t="inlineStr">
        <is>
          <t>David O'Brien</t>
        </is>
      </c>
      <c r="S39" s="70" t="inlineStr"/>
    </row>
    <row r="40" ht="18" customHeight="1">
      <c r="A40" s="114" t="inlineStr">
        <is>
          <t>PO-2025-1039</t>
        </is>
      </c>
      <c r="B40" s="85" t="inlineStr">
        <is>
          <t>EVT-2025-015</t>
        </is>
      </c>
      <c r="C40" s="86" t="inlineStr">
        <is>
          <t>Translingua Pro</t>
        </is>
      </c>
      <c r="D40" s="86" t="inlineStr">
        <is>
          <t>Translation &amp; Interpretation</t>
        </is>
      </c>
      <c r="E40" s="89" t="n">
        <v>45923</v>
      </c>
      <c r="F40" s="89" t="n">
        <v>45931</v>
      </c>
      <c r="G40" s="90" t="n">
        <v>8</v>
      </c>
      <c r="H40" s="87" t="n">
        <v>2631.64</v>
      </c>
      <c r="I40" s="85" t="inlineStr">
        <is>
          <t>EUR</t>
        </is>
      </c>
      <c r="J40" s="85" t="inlineStr">
        <is>
          <t>CC-9951</t>
        </is>
      </c>
      <c r="K40" s="85" t="inlineStr">
        <is>
          <t>GL-6325</t>
        </is>
      </c>
      <c r="L40" s="76" t="inlineStr">
        <is>
          <t>Pending Approval</t>
        </is>
      </c>
      <c r="M40" s="85" t="inlineStr">
        <is>
          <t>INV-01039</t>
        </is>
      </c>
      <c r="N40" s="96" t="inlineStr">
        <is>
          <t>Pending</t>
        </is>
      </c>
      <c r="O40" s="89" t="n">
        <v>45979</v>
      </c>
      <c r="P40" s="90" t="n">
        <v>0</v>
      </c>
      <c r="Q40" s="86" t="inlineStr">
        <is>
          <t>Carlos Navarro</t>
        </is>
      </c>
      <c r="R40" s="86" t="inlineStr">
        <is>
          <t>Marco Bianchi</t>
        </is>
      </c>
      <c r="S40" s="86" t="inlineStr"/>
    </row>
    <row r="41" ht="18" customHeight="1">
      <c r="A41" s="115" t="inlineStr">
        <is>
          <t>PO-2025-1040</t>
        </is>
      </c>
      <c r="B41" s="71" t="inlineStr">
        <is>
          <t>EVT-2025-015</t>
        </is>
      </c>
      <c r="C41" s="70" t="inlineStr">
        <is>
          <t>TechEvent Systems</t>
        </is>
      </c>
      <c r="D41" s="70" t="inlineStr">
        <is>
          <t>Registration &amp; Tech</t>
        </is>
      </c>
      <c r="E41" s="72" t="n">
        <v>45960</v>
      </c>
      <c r="F41" s="72" t="n">
        <v>45964</v>
      </c>
      <c r="G41" s="91" t="n">
        <v>4</v>
      </c>
      <c r="H41" s="73" t="n">
        <v>66961.42999999999</v>
      </c>
      <c r="I41" s="71" t="inlineStr">
        <is>
          <t>EUR</t>
        </is>
      </c>
      <c r="J41" s="71" t="inlineStr">
        <is>
          <t>CC-1225</t>
        </is>
      </c>
      <c r="K41" s="71" t="inlineStr">
        <is>
          <t>GL-6312</t>
        </is>
      </c>
      <c r="L41" s="76" t="inlineStr">
        <is>
          <t>Pending Approval</t>
        </is>
      </c>
      <c r="M41" s="71" t="inlineStr">
        <is>
          <t>INV-01040</t>
        </is>
      </c>
      <c r="N41" s="88" t="inlineStr">
        <is>
          <t>Approved</t>
        </is>
      </c>
      <c r="O41" s="72" t="n">
        <v>45991</v>
      </c>
      <c r="P41" s="91" t="n">
        <v>0</v>
      </c>
      <c r="Q41" s="70" t="inlineStr">
        <is>
          <t>Ana García</t>
        </is>
      </c>
      <c r="R41" s="70" t="inlineStr">
        <is>
          <t>Ana García</t>
        </is>
      </c>
      <c r="S41" s="70" t="inlineStr"/>
    </row>
    <row r="42" ht="18" customHeight="1">
      <c r="A42" s="114" t="inlineStr">
        <is>
          <t>PO-2025-1041</t>
        </is>
      </c>
      <c r="B42" s="85" t="inlineStr">
        <is>
          <t>EVT-2025-016</t>
        </is>
      </c>
      <c r="C42" s="86" t="inlineStr">
        <is>
          <t>Prime Hospitality Group</t>
        </is>
      </c>
      <c r="D42" s="86" t="inlineStr">
        <is>
          <t>Hotel &amp; Venue</t>
        </is>
      </c>
      <c r="E42" s="89" t="n">
        <v>45539</v>
      </c>
      <c r="F42" s="89" t="n">
        <v>45548</v>
      </c>
      <c r="G42" s="90" t="n">
        <v>9</v>
      </c>
      <c r="H42" s="87" t="n">
        <v>54865.63</v>
      </c>
      <c r="I42" s="85" t="inlineStr">
        <is>
          <t>EUR</t>
        </is>
      </c>
      <c r="J42" s="85" t="inlineStr">
        <is>
          <t>CC-9300</t>
        </is>
      </c>
      <c r="K42" s="85" t="inlineStr">
        <is>
          <t>GL-6312</t>
        </is>
      </c>
      <c r="L42" s="93" t="inlineStr">
        <is>
          <t>Cancelled</t>
        </is>
      </c>
      <c r="M42" s="85" t="inlineStr">
        <is>
          <t>INV-01041</t>
        </is>
      </c>
      <c r="N42" s="76" t="inlineStr">
        <is>
          <t>Disputed</t>
        </is>
      </c>
      <c r="O42" s="89" t="n">
        <v>45629</v>
      </c>
      <c r="P42" s="90" t="n">
        <v>0</v>
      </c>
      <c r="Q42" s="86" t="inlineStr">
        <is>
          <t>Thomas Dubois</t>
        </is>
      </c>
      <c r="R42" s="86" t="inlineStr">
        <is>
          <t>Lena Schneider</t>
        </is>
      </c>
      <c r="S42" s="86" t="inlineStr"/>
    </row>
    <row r="43" ht="18" customHeight="1">
      <c r="A43" s="115" t="inlineStr">
        <is>
          <t>PO-2025-1042</t>
        </is>
      </c>
      <c r="B43" s="71" t="inlineStr">
        <is>
          <t>EVT-2025-016</t>
        </is>
      </c>
      <c r="C43" s="70" t="inlineStr">
        <is>
          <t>Compliance Expert Ltd</t>
        </is>
      </c>
      <c r="D43" s="70" t="inlineStr">
        <is>
          <t>Compliance &amp; Legal</t>
        </is>
      </c>
      <c r="E43" s="72" t="n">
        <v>45553</v>
      </c>
      <c r="F43" s="72" t="n">
        <v>45562</v>
      </c>
      <c r="G43" s="91" t="n">
        <v>9</v>
      </c>
      <c r="H43" s="73" t="n">
        <v>9578.790000000001</v>
      </c>
      <c r="I43" s="71" t="inlineStr">
        <is>
          <t>EUR</t>
        </is>
      </c>
      <c r="J43" s="71" t="inlineStr">
        <is>
          <t>CC-7939</t>
        </is>
      </c>
      <c r="K43" s="71" t="inlineStr">
        <is>
          <t>GL-6325</t>
        </is>
      </c>
      <c r="L43" s="88" t="inlineStr">
        <is>
          <t>Sent to Supplier</t>
        </is>
      </c>
      <c r="M43" s="71" t="inlineStr"/>
      <c r="N43" s="95" t="inlineStr">
        <is>
          <t>Invoiced</t>
        </is>
      </c>
      <c r="O43" s="72" t="n">
        <v>45632</v>
      </c>
      <c r="P43" s="91" t="n">
        <v>0</v>
      </c>
      <c r="Q43" s="70" t="inlineStr">
        <is>
          <t>Marco Bianchi</t>
        </is>
      </c>
      <c r="R43" s="70" t="inlineStr">
        <is>
          <t>Maria Kowalski</t>
        </is>
      </c>
      <c r="S43" s="70" t="inlineStr"/>
    </row>
    <row r="44" ht="18" customHeight="1">
      <c r="A44" s="114" t="inlineStr">
        <is>
          <t>PO-2025-1043</t>
        </is>
      </c>
      <c r="B44" s="85" t="inlineStr">
        <is>
          <t>EVT-2025-016</t>
        </is>
      </c>
      <c r="C44" s="86" t="inlineStr">
        <is>
          <t>HealthMarketing Group</t>
        </is>
      </c>
      <c r="D44" s="86" t="inlineStr">
        <is>
          <t>Marketing Agency</t>
        </is>
      </c>
      <c r="E44" s="89" t="n">
        <v>45565</v>
      </c>
      <c r="F44" s="89" t="n">
        <v>45570</v>
      </c>
      <c r="G44" s="90" t="n">
        <v>5</v>
      </c>
      <c r="H44" s="87" t="n">
        <v>47206.76</v>
      </c>
      <c r="I44" s="85" t="inlineStr">
        <is>
          <t>EUR</t>
        </is>
      </c>
      <c r="J44" s="85" t="inlineStr">
        <is>
          <t>CC-5546</t>
        </is>
      </c>
      <c r="K44" s="85" t="inlineStr">
        <is>
          <t>GL-6310</t>
        </is>
      </c>
      <c r="L44" s="69" t="inlineStr">
        <is>
          <t>Approved</t>
        </is>
      </c>
      <c r="M44" s="85" t="inlineStr">
        <is>
          <t>INV-01043</t>
        </is>
      </c>
      <c r="N44" s="95" t="inlineStr">
        <is>
          <t>Invoiced</t>
        </is>
      </c>
      <c r="O44" s="89" t="n">
        <v>45629</v>
      </c>
      <c r="P44" s="90" t="n">
        <v>0</v>
      </c>
      <c r="Q44" s="86" t="inlineStr">
        <is>
          <t>Marco Bianchi</t>
        </is>
      </c>
      <c r="R44" s="86" t="inlineStr">
        <is>
          <t>Lena Schneider</t>
        </is>
      </c>
      <c r="S44" s="86" t="inlineStr"/>
    </row>
    <row r="45" ht="18" customHeight="1">
      <c r="A45" s="115" t="inlineStr">
        <is>
          <t>PO-2025-1044</t>
        </is>
      </c>
      <c r="B45" s="71" t="inlineStr">
        <is>
          <t>EVT-2025-017</t>
        </is>
      </c>
      <c r="C45" s="70" t="inlineStr">
        <is>
          <t>MedAudio AV Solutions</t>
        </is>
      </c>
      <c r="D45" s="70" t="inlineStr">
        <is>
          <t>AV &amp; Technology</t>
        </is>
      </c>
      <c r="E45" s="72" t="n">
        <v>45858</v>
      </c>
      <c r="F45" s="72" t="n">
        <v>45864</v>
      </c>
      <c r="G45" s="91" t="n">
        <v>6</v>
      </c>
      <c r="H45" s="73" t="n">
        <v>30536.89</v>
      </c>
      <c r="I45" s="71" t="inlineStr">
        <is>
          <t>EUR</t>
        </is>
      </c>
      <c r="J45" s="71" t="inlineStr">
        <is>
          <t>CC-3545</t>
        </is>
      </c>
      <c r="K45" s="71" t="inlineStr">
        <is>
          <t>GL-6320</t>
        </is>
      </c>
      <c r="L45" s="69" t="inlineStr">
        <is>
          <t>Approved</t>
        </is>
      </c>
      <c r="M45" s="71" t="inlineStr">
        <is>
          <t>INV-01044</t>
        </is>
      </c>
      <c r="N45" s="96" t="inlineStr">
        <is>
          <t>Cancelled</t>
        </is>
      </c>
      <c r="O45" s="72" t="n">
        <v>45946</v>
      </c>
      <c r="P45" s="91" t="n">
        <v>0</v>
      </c>
      <c r="Q45" s="70" t="inlineStr">
        <is>
          <t>Emma Johansson</t>
        </is>
      </c>
      <c r="R45" s="70" t="inlineStr">
        <is>
          <t>David O'Brien</t>
        </is>
      </c>
      <c r="S45" s="70" t="inlineStr"/>
    </row>
    <row r="46" ht="18" customHeight="1">
      <c r="A46" s="114" t="inlineStr">
        <is>
          <t>PO-2025-1045</t>
        </is>
      </c>
      <c r="B46" s="85" t="inlineStr">
        <is>
          <t>EVT-2025-017</t>
        </is>
      </c>
      <c r="C46" s="86" t="inlineStr">
        <is>
          <t>Prime Hospitality Group</t>
        </is>
      </c>
      <c r="D46" s="86" t="inlineStr">
        <is>
          <t>Hotel &amp; Venue</t>
        </is>
      </c>
      <c r="E46" s="89" t="n">
        <v>45877</v>
      </c>
      <c r="F46" s="89" t="n">
        <v>45881</v>
      </c>
      <c r="G46" s="90" t="n">
        <v>4</v>
      </c>
      <c r="H46" s="87" t="n">
        <v>66325.81</v>
      </c>
      <c r="I46" s="85" t="inlineStr">
        <is>
          <t>EUR</t>
        </is>
      </c>
      <c r="J46" s="85" t="inlineStr">
        <is>
          <t>CC-6081</t>
        </is>
      </c>
      <c r="K46" s="85" t="inlineStr">
        <is>
          <t>GL-6325</t>
        </is>
      </c>
      <c r="L46" s="88" t="inlineStr">
        <is>
          <t>Sent to Supplier</t>
        </is>
      </c>
      <c r="M46" s="85" t="inlineStr"/>
      <c r="N46" s="95" t="inlineStr">
        <is>
          <t>Invoiced</t>
        </is>
      </c>
      <c r="O46" s="89" t="n">
        <v>45947</v>
      </c>
      <c r="P46" s="90" t="n">
        <v>0</v>
      </c>
      <c r="Q46" s="86" t="inlineStr">
        <is>
          <t>Thomas Dubois</t>
        </is>
      </c>
      <c r="R46" s="86" t="inlineStr">
        <is>
          <t>James Wilson</t>
        </is>
      </c>
      <c r="S46" s="86" t="inlineStr"/>
    </row>
    <row r="47" ht="18" customHeight="1">
      <c r="A47" s="115" t="inlineStr">
        <is>
          <t>PO-2025-1046</t>
        </is>
      </c>
      <c r="B47" s="71" t="inlineStr">
        <is>
          <t>EVT-2025-017</t>
        </is>
      </c>
      <c r="C47" s="70" t="inlineStr">
        <is>
          <t>HealthMarketing Group</t>
        </is>
      </c>
      <c r="D47" s="70" t="inlineStr">
        <is>
          <t>Marketing Agency</t>
        </is>
      </c>
      <c r="E47" s="72" t="n">
        <v>45915</v>
      </c>
      <c r="F47" s="72" t="n">
        <v>45921</v>
      </c>
      <c r="G47" s="91" t="n">
        <v>6</v>
      </c>
      <c r="H47" s="73" t="n">
        <v>64730.14</v>
      </c>
      <c r="I47" s="71" t="inlineStr">
        <is>
          <t>EUR</t>
        </is>
      </c>
      <c r="J47" s="71" t="inlineStr">
        <is>
          <t>CC-2412</t>
        </is>
      </c>
      <c r="K47" s="71" t="inlineStr">
        <is>
          <t>GL-6315</t>
        </is>
      </c>
      <c r="L47" s="96" t="inlineStr">
        <is>
          <t>Draft</t>
        </is>
      </c>
      <c r="M47" s="71" t="inlineStr">
        <is>
          <t>INV-01046</t>
        </is>
      </c>
      <c r="N47" s="88" t="inlineStr">
        <is>
          <t>Approved</t>
        </is>
      </c>
      <c r="O47" s="72" t="n">
        <v>45948</v>
      </c>
      <c r="P47" s="91" t="n">
        <v>0</v>
      </c>
      <c r="Q47" s="70" t="inlineStr">
        <is>
          <t>Carlos Navarro</t>
        </is>
      </c>
      <c r="R47" s="70" t="inlineStr">
        <is>
          <t>David O'Brien</t>
        </is>
      </c>
      <c r="S47" s="70" t="inlineStr"/>
    </row>
    <row r="48" ht="18" customHeight="1">
      <c r="A48" s="114" t="inlineStr">
        <is>
          <t>PO-2025-1047</t>
        </is>
      </c>
      <c r="B48" s="85" t="inlineStr">
        <is>
          <t>EVT-2025-017</t>
        </is>
      </c>
      <c r="C48" s="86" t="inlineStr">
        <is>
          <t>PrintMed Solutions</t>
        </is>
      </c>
      <c r="D48" s="86" t="inlineStr">
        <is>
          <t>Print &amp; Production</t>
        </is>
      </c>
      <c r="E48" s="89" t="n">
        <v>45871</v>
      </c>
      <c r="F48" s="89" t="n">
        <v>45874</v>
      </c>
      <c r="G48" s="90" t="n">
        <v>3</v>
      </c>
      <c r="H48" s="87" t="n">
        <v>69090.97</v>
      </c>
      <c r="I48" s="85" t="inlineStr">
        <is>
          <t>EUR</t>
        </is>
      </c>
      <c r="J48" s="85" t="inlineStr">
        <is>
          <t>CC-6067</t>
        </is>
      </c>
      <c r="K48" s="85" t="inlineStr">
        <is>
          <t>GL-6325</t>
        </is>
      </c>
      <c r="L48" s="93" t="inlineStr">
        <is>
          <t>Cancelled</t>
        </is>
      </c>
      <c r="M48" s="85" t="inlineStr">
        <is>
          <t>INV-01047</t>
        </is>
      </c>
      <c r="N48" s="69" t="inlineStr">
        <is>
          <t>Paid</t>
        </is>
      </c>
      <c r="O48" s="89" t="n">
        <v>45939</v>
      </c>
      <c r="P48" s="90" t="n">
        <v>0</v>
      </c>
      <c r="Q48" s="86" t="inlineStr">
        <is>
          <t>Maria Kowalski</t>
        </is>
      </c>
      <c r="R48" s="86" t="inlineStr">
        <is>
          <t>Thomas Dubois</t>
        </is>
      </c>
      <c r="S48" s="86" t="inlineStr"/>
    </row>
    <row r="49" ht="18" customHeight="1">
      <c r="A49" s="115" t="inlineStr">
        <is>
          <t>PO-2025-1048</t>
        </is>
      </c>
      <c r="B49" s="71" t="inlineStr">
        <is>
          <t>EVT-2025-018</t>
        </is>
      </c>
      <c r="C49" s="70" t="inlineStr">
        <is>
          <t>PharmaLogix</t>
        </is>
      </c>
      <c r="D49" s="70" t="inlineStr">
        <is>
          <t>Logistics &amp; Transport</t>
        </is>
      </c>
      <c r="E49" s="72" t="n">
        <v>45608</v>
      </c>
      <c r="F49" s="72" t="n">
        <v>45612</v>
      </c>
      <c r="G49" s="91" t="n">
        <v>4</v>
      </c>
      <c r="H49" s="73" t="n">
        <v>11639.92</v>
      </c>
      <c r="I49" s="71" t="inlineStr">
        <is>
          <t>EUR</t>
        </is>
      </c>
      <c r="J49" s="71" t="inlineStr">
        <is>
          <t>CC-1207</t>
        </is>
      </c>
      <c r="K49" s="71" t="inlineStr">
        <is>
          <t>GL-6325</t>
        </is>
      </c>
      <c r="L49" s="76" t="inlineStr">
        <is>
          <t>Pending Approval</t>
        </is>
      </c>
      <c r="M49" s="71" t="inlineStr"/>
      <c r="N49" s="76" t="inlineStr">
        <is>
          <t>Disputed</t>
        </is>
      </c>
      <c r="O49" s="72" t="n">
        <v>45649</v>
      </c>
      <c r="P49" s="91" t="n">
        <v>0</v>
      </c>
      <c r="Q49" s="70" t="inlineStr">
        <is>
          <t>Thomas Dubois</t>
        </is>
      </c>
      <c r="R49" s="70" t="inlineStr">
        <is>
          <t>Ana García</t>
        </is>
      </c>
      <c r="S49" s="70" t="inlineStr"/>
    </row>
    <row r="50" ht="18" customHeight="1">
      <c r="A50" s="114" t="inlineStr">
        <is>
          <t>PO-2025-1049</t>
        </is>
      </c>
      <c r="B50" s="85" t="inlineStr">
        <is>
          <t>EVT-2025-018</t>
        </is>
      </c>
      <c r="C50" s="86" t="inlineStr">
        <is>
          <t>InterCongress PCO</t>
        </is>
      </c>
      <c r="D50" s="86" t="inlineStr">
        <is>
          <t>PCO / Event Agency</t>
        </is>
      </c>
      <c r="E50" s="89" t="n">
        <v>45609</v>
      </c>
      <c r="F50" s="89" t="n">
        <v>45619</v>
      </c>
      <c r="G50" s="90" t="n">
        <v>10</v>
      </c>
      <c r="H50" s="87" t="n">
        <v>66148.55</v>
      </c>
      <c r="I50" s="85" t="inlineStr">
        <is>
          <t>EUR</t>
        </is>
      </c>
      <c r="J50" s="85" t="inlineStr">
        <is>
          <t>CC-6680</t>
        </is>
      </c>
      <c r="K50" s="85" t="inlineStr">
        <is>
          <t>GL-6320</t>
        </is>
      </c>
      <c r="L50" s="116" t="inlineStr">
        <is>
          <t>Closed</t>
        </is>
      </c>
      <c r="M50" s="85" t="inlineStr">
        <is>
          <t>INV-01049</t>
        </is>
      </c>
      <c r="N50" s="88" t="inlineStr">
        <is>
          <t>Approved</t>
        </is>
      </c>
      <c r="O50" s="89" t="n">
        <v>45649</v>
      </c>
      <c r="P50" s="90" t="n">
        <v>0</v>
      </c>
      <c r="Q50" s="86" t="inlineStr">
        <is>
          <t>Thomas Dubois</t>
        </is>
      </c>
      <c r="R50" s="86" t="inlineStr">
        <is>
          <t>Isabel Ferreira</t>
        </is>
      </c>
      <c r="S50" s="86" t="inlineStr"/>
    </row>
    <row r="51" ht="18" customHeight="1">
      <c r="A51" s="115" t="inlineStr">
        <is>
          <t>PO-2025-1050</t>
        </is>
      </c>
      <c r="B51" s="71" t="inlineStr">
        <is>
          <t>EVT-2025-018</t>
        </is>
      </c>
      <c r="C51" s="70" t="inlineStr">
        <is>
          <t>Venue Masters EMEA</t>
        </is>
      </c>
      <c r="D51" s="70" t="inlineStr">
        <is>
          <t>Venue Sourcing</t>
        </is>
      </c>
      <c r="E51" s="72" t="n">
        <v>45603</v>
      </c>
      <c r="F51" s="72" t="n">
        <v>45611</v>
      </c>
      <c r="G51" s="91" t="n">
        <v>8</v>
      </c>
      <c r="H51" s="73" t="n">
        <v>70970.32000000001</v>
      </c>
      <c r="I51" s="71" t="inlineStr">
        <is>
          <t>EUR</t>
        </is>
      </c>
      <c r="J51" s="71" t="inlineStr">
        <is>
          <t>CC-3079</t>
        </is>
      </c>
      <c r="K51" s="71" t="inlineStr">
        <is>
          <t>GL-6325</t>
        </is>
      </c>
      <c r="L51" s="69" t="inlineStr">
        <is>
          <t>Approved</t>
        </is>
      </c>
      <c r="M51" s="71" t="inlineStr"/>
      <c r="N51" s="93" t="inlineStr">
        <is>
          <t>Overdue</t>
        </is>
      </c>
      <c r="O51" s="72" t="n">
        <v>45643</v>
      </c>
      <c r="P51" s="94" t="n">
        <v>554</v>
      </c>
      <c r="Q51" s="70" t="inlineStr">
        <is>
          <t>Thomas Dubois</t>
        </is>
      </c>
      <c r="R51" s="70" t="inlineStr">
        <is>
          <t>Marco Bianchi</t>
        </is>
      </c>
      <c r="S51" s="70" t="inlineStr"/>
    </row>
    <row r="52" ht="18" customHeight="1">
      <c r="A52" s="114" t="inlineStr">
        <is>
          <t>PO-2025-1051</t>
        </is>
      </c>
      <c r="B52" s="85" t="inlineStr">
        <is>
          <t>EVT-2025-018</t>
        </is>
      </c>
      <c r="C52" s="86" t="inlineStr">
        <is>
          <t>MedComm Agency</t>
        </is>
      </c>
      <c r="D52" s="86" t="inlineStr">
        <is>
          <t>Medical Communication</t>
        </is>
      </c>
      <c r="E52" s="89" t="n">
        <v>45567</v>
      </c>
      <c r="F52" s="89" t="n">
        <v>45570</v>
      </c>
      <c r="G52" s="90" t="n">
        <v>3</v>
      </c>
      <c r="H52" s="87" t="n">
        <v>51561.51</v>
      </c>
      <c r="I52" s="85" t="inlineStr">
        <is>
          <t>EUR</t>
        </is>
      </c>
      <c r="J52" s="85" t="inlineStr">
        <is>
          <t>CC-6488</t>
        </is>
      </c>
      <c r="K52" s="85" t="inlineStr">
        <is>
          <t>GL-6330</t>
        </is>
      </c>
      <c r="L52" s="88" t="inlineStr">
        <is>
          <t>Sent to Supplier</t>
        </is>
      </c>
      <c r="M52" s="85" t="inlineStr">
        <is>
          <t>INV-01051</t>
        </is>
      </c>
      <c r="N52" s="95" t="inlineStr">
        <is>
          <t>Invoiced</t>
        </is>
      </c>
      <c r="O52" s="89" t="n">
        <v>45646</v>
      </c>
      <c r="P52" s="90" t="n">
        <v>0</v>
      </c>
      <c r="Q52" s="86" t="inlineStr">
        <is>
          <t>Isabel Ferreira</t>
        </is>
      </c>
      <c r="R52" s="86" t="inlineStr">
        <is>
          <t>Lena Schneider</t>
        </is>
      </c>
      <c r="S52" s="86" t="inlineStr"/>
    </row>
    <row r="53" ht="18" customHeight="1">
      <c r="A53" s="115" t="inlineStr">
        <is>
          <t>PO-2025-1052</t>
        </is>
      </c>
      <c r="B53" s="71" t="inlineStr">
        <is>
          <t>EVT-2025-018</t>
        </is>
      </c>
      <c r="C53" s="70" t="inlineStr">
        <is>
          <t>AVIAWORLD Travel</t>
        </is>
      </c>
      <c r="D53" s="70" t="inlineStr">
        <is>
          <t>Travel &amp; Air</t>
        </is>
      </c>
      <c r="E53" s="72" t="n">
        <v>45625</v>
      </c>
      <c r="F53" s="72" t="n">
        <v>45632</v>
      </c>
      <c r="G53" s="91" t="n">
        <v>7</v>
      </c>
      <c r="H53" s="73" t="n">
        <v>12902.61</v>
      </c>
      <c r="I53" s="71" t="inlineStr">
        <is>
          <t>EUR</t>
        </is>
      </c>
      <c r="J53" s="71" t="inlineStr">
        <is>
          <t>CC-2262</t>
        </is>
      </c>
      <c r="K53" s="71" t="inlineStr">
        <is>
          <t>GL-6315</t>
        </is>
      </c>
      <c r="L53" s="88" t="inlineStr">
        <is>
          <t>Sent to Supplier</t>
        </is>
      </c>
      <c r="M53" s="71" t="inlineStr">
        <is>
          <t>INV-01052</t>
        </is>
      </c>
      <c r="N53" s="69" t="inlineStr">
        <is>
          <t>Paid</t>
        </is>
      </c>
      <c r="O53" s="72" t="n">
        <v>45659</v>
      </c>
      <c r="P53" s="91" t="n">
        <v>0</v>
      </c>
      <c r="Q53" s="70" t="inlineStr">
        <is>
          <t>Lena Schneider</t>
        </is>
      </c>
      <c r="R53" s="70" t="inlineStr">
        <is>
          <t>Lucas Dupont</t>
        </is>
      </c>
      <c r="S53" s="70" t="inlineStr"/>
    </row>
    <row r="54" ht="18" customHeight="1">
      <c r="A54" s="114" t="inlineStr">
        <is>
          <t>PO-2025-1053</t>
        </is>
      </c>
      <c r="B54" s="85" t="inlineStr">
        <is>
          <t>EVT-2025-019</t>
        </is>
      </c>
      <c r="C54" s="86" t="inlineStr">
        <is>
          <t>Prime Hospitality Group</t>
        </is>
      </c>
      <c r="D54" s="86" t="inlineStr">
        <is>
          <t>Hotel &amp; Venue</t>
        </is>
      </c>
      <c r="E54" s="89" t="n">
        <v>45852</v>
      </c>
      <c r="F54" s="89" t="n">
        <v>45862</v>
      </c>
      <c r="G54" s="90" t="n">
        <v>10</v>
      </c>
      <c r="H54" s="87" t="n">
        <v>12581.8</v>
      </c>
      <c r="I54" s="85" t="inlineStr">
        <is>
          <t>EUR</t>
        </is>
      </c>
      <c r="J54" s="85" t="inlineStr">
        <is>
          <t>CC-3734</t>
        </is>
      </c>
      <c r="K54" s="85" t="inlineStr">
        <is>
          <t>GL-6312</t>
        </is>
      </c>
      <c r="L54" s="76" t="inlineStr">
        <is>
          <t>Pending Approval</t>
        </is>
      </c>
      <c r="M54" s="85" t="inlineStr">
        <is>
          <t>INV-01053</t>
        </is>
      </c>
      <c r="N54" s="76" t="inlineStr">
        <is>
          <t>Disputed</t>
        </is>
      </c>
      <c r="O54" s="89" t="n">
        <v>45885</v>
      </c>
      <c r="P54" s="90" t="n">
        <v>0</v>
      </c>
      <c r="Q54" s="86" t="inlineStr">
        <is>
          <t>Isabel Ferreira</t>
        </is>
      </c>
      <c r="R54" s="86" t="inlineStr">
        <is>
          <t>Marco Bianchi</t>
        </is>
      </c>
      <c r="S54" s="86" t="inlineStr"/>
    </row>
    <row r="55" ht="18" customHeight="1">
      <c r="A55" s="115" t="inlineStr">
        <is>
          <t>PO-2025-1054</t>
        </is>
      </c>
      <c r="B55" s="71" t="inlineStr">
        <is>
          <t>EVT-2025-020</t>
        </is>
      </c>
      <c r="C55" s="70" t="inlineStr">
        <is>
          <t>MedComm Agency</t>
        </is>
      </c>
      <c r="D55" s="70" t="inlineStr">
        <is>
          <t>Medical Communication</t>
        </is>
      </c>
      <c r="E55" s="72" t="n">
        <v>45633</v>
      </c>
      <c r="F55" s="72" t="n">
        <v>45637</v>
      </c>
      <c r="G55" s="91" t="n">
        <v>4</v>
      </c>
      <c r="H55" s="73" t="n">
        <v>53083.91</v>
      </c>
      <c r="I55" s="71" t="inlineStr">
        <is>
          <t>EUR</t>
        </is>
      </c>
      <c r="J55" s="71" t="inlineStr">
        <is>
          <t>CC-4742</t>
        </is>
      </c>
      <c r="K55" s="71" t="inlineStr">
        <is>
          <t>GL-6325</t>
        </is>
      </c>
      <c r="L55" s="116" t="inlineStr">
        <is>
          <t>Closed</t>
        </is>
      </c>
      <c r="M55" s="71" t="inlineStr">
        <is>
          <t>INV-01054</t>
        </is>
      </c>
      <c r="N55" s="95" t="inlineStr">
        <is>
          <t>Invoiced</t>
        </is>
      </c>
      <c r="O55" s="72" t="n">
        <v>45720</v>
      </c>
      <c r="P55" s="91" t="n">
        <v>0</v>
      </c>
      <c r="Q55" s="70" t="inlineStr">
        <is>
          <t>Ana García</t>
        </is>
      </c>
      <c r="R55" s="70" t="inlineStr">
        <is>
          <t>Ana García</t>
        </is>
      </c>
      <c r="S55" s="70" t="inlineStr"/>
    </row>
    <row r="56" ht="18" customHeight="1">
      <c r="A56" s="114" t="inlineStr">
        <is>
          <t>PO-2025-1055</t>
        </is>
      </c>
      <c r="B56" s="85" t="inlineStr">
        <is>
          <t>EVT-2025-020</t>
        </is>
      </c>
      <c r="C56" s="86" t="inlineStr">
        <is>
          <t>DigitalPharma Studio</t>
        </is>
      </c>
      <c r="D56" s="86" t="inlineStr">
        <is>
          <t>Digital &amp; Web</t>
        </is>
      </c>
      <c r="E56" s="89" t="n">
        <v>45637</v>
      </c>
      <c r="F56" s="89" t="n">
        <v>45640</v>
      </c>
      <c r="G56" s="90" t="n">
        <v>3</v>
      </c>
      <c r="H56" s="87" t="n">
        <v>18947.04</v>
      </c>
      <c r="I56" s="85" t="inlineStr">
        <is>
          <t>EUR</t>
        </is>
      </c>
      <c r="J56" s="85" t="inlineStr">
        <is>
          <t>CC-5006</t>
        </is>
      </c>
      <c r="K56" s="85" t="inlineStr">
        <is>
          <t>GL-6310</t>
        </is>
      </c>
      <c r="L56" s="88" t="inlineStr">
        <is>
          <t>Sent to Supplier</t>
        </is>
      </c>
      <c r="M56" s="85" t="inlineStr">
        <is>
          <t>INV-01055</t>
        </is>
      </c>
      <c r="N56" s="96" t="inlineStr">
        <is>
          <t>Cancelled</t>
        </is>
      </c>
      <c r="O56" s="89" t="n">
        <v>45721</v>
      </c>
      <c r="P56" s="90" t="n">
        <v>0</v>
      </c>
      <c r="Q56" s="86" t="inlineStr">
        <is>
          <t>Lucas Dupont</t>
        </is>
      </c>
      <c r="R56" s="86" t="inlineStr">
        <is>
          <t>Emma Johansson</t>
        </is>
      </c>
      <c r="S56" s="86" t="inlineStr"/>
    </row>
    <row r="57" ht="18" customHeight="1">
      <c r="A57" s="115" t="inlineStr">
        <is>
          <t>PO-2025-1056</t>
        </is>
      </c>
      <c r="B57" s="71" t="inlineStr">
        <is>
          <t>EVT-2025-020</t>
        </is>
      </c>
      <c r="C57" s="70" t="inlineStr">
        <is>
          <t>KOL Connect</t>
        </is>
      </c>
      <c r="D57" s="70" t="inlineStr">
        <is>
          <t>Speaker Management</t>
        </is>
      </c>
      <c r="E57" s="72" t="n">
        <v>45630</v>
      </c>
      <c r="F57" s="72" t="n">
        <v>45635</v>
      </c>
      <c r="G57" s="91" t="n">
        <v>5</v>
      </c>
      <c r="H57" s="73" t="n">
        <v>55483.06</v>
      </c>
      <c r="I57" s="71" t="inlineStr">
        <is>
          <t>EUR</t>
        </is>
      </c>
      <c r="J57" s="71" t="inlineStr">
        <is>
          <t>CC-3932</t>
        </is>
      </c>
      <c r="K57" s="71" t="inlineStr">
        <is>
          <t>GL-6330</t>
        </is>
      </c>
      <c r="L57" s="96" t="inlineStr">
        <is>
          <t>Draft</t>
        </is>
      </c>
      <c r="M57" s="71" t="inlineStr"/>
      <c r="N57" s="76" t="inlineStr">
        <is>
          <t>Disputed</t>
        </is>
      </c>
      <c r="O57" s="72" t="n">
        <v>45718</v>
      </c>
      <c r="P57" s="91" t="n">
        <v>0</v>
      </c>
      <c r="Q57" s="70" t="inlineStr">
        <is>
          <t>Lena Schneider</t>
        </is>
      </c>
      <c r="R57" s="70" t="inlineStr">
        <is>
          <t>Thomas Dubois</t>
        </is>
      </c>
      <c r="S57" s="70" t="inlineStr"/>
    </row>
    <row r="58" ht="18" customHeight="1">
      <c r="A58" s="114" t="inlineStr">
        <is>
          <t>PO-2025-1057</t>
        </is>
      </c>
      <c r="B58" s="85" t="inlineStr">
        <is>
          <t>EVT-2025-020</t>
        </is>
      </c>
      <c r="C58" s="86" t="inlineStr">
        <is>
          <t>Venue Masters EMEA</t>
        </is>
      </c>
      <c r="D58" s="86" t="inlineStr">
        <is>
          <t>Venue Sourcing</t>
        </is>
      </c>
      <c r="E58" s="89" t="n">
        <v>45655</v>
      </c>
      <c r="F58" s="89" t="n">
        <v>45664</v>
      </c>
      <c r="G58" s="90" t="n">
        <v>9</v>
      </c>
      <c r="H58" s="87" t="n">
        <v>23518.75</v>
      </c>
      <c r="I58" s="85" t="inlineStr">
        <is>
          <t>EUR</t>
        </is>
      </c>
      <c r="J58" s="85" t="inlineStr">
        <is>
          <t>CC-4678</t>
        </is>
      </c>
      <c r="K58" s="85" t="inlineStr">
        <is>
          <t>GL-6312</t>
        </is>
      </c>
      <c r="L58" s="76" t="inlineStr">
        <is>
          <t>Pending Approval</t>
        </is>
      </c>
      <c r="M58" s="85" t="inlineStr"/>
      <c r="N58" s="96" t="inlineStr">
        <is>
          <t>Cancelled</t>
        </is>
      </c>
      <c r="O58" s="89" t="n">
        <v>45732</v>
      </c>
      <c r="P58" s="90" t="n">
        <v>0</v>
      </c>
      <c r="Q58" s="86" t="inlineStr">
        <is>
          <t>Emma Johansson</t>
        </is>
      </c>
      <c r="R58" s="86" t="inlineStr">
        <is>
          <t>Thomas Dubois</t>
        </is>
      </c>
      <c r="S58" s="86" t="inlineStr"/>
    </row>
    <row r="59" ht="18" customHeight="1">
      <c r="A59" s="115" t="inlineStr">
        <is>
          <t>PO-2025-1058</t>
        </is>
      </c>
      <c r="B59" s="71" t="inlineStr">
        <is>
          <t>EVT-2025-020</t>
        </is>
      </c>
      <c r="C59" s="70" t="inlineStr">
        <is>
          <t>MedAudio AV Solutions</t>
        </is>
      </c>
      <c r="D59" s="70" t="inlineStr">
        <is>
          <t>AV &amp; Technology</t>
        </is>
      </c>
      <c r="E59" s="72" t="n">
        <v>45665</v>
      </c>
      <c r="F59" s="72" t="n">
        <v>45672</v>
      </c>
      <c r="G59" s="91" t="n">
        <v>7</v>
      </c>
      <c r="H59" s="73" t="n">
        <v>18544.25</v>
      </c>
      <c r="I59" s="71" t="inlineStr">
        <is>
          <t>EUR</t>
        </is>
      </c>
      <c r="J59" s="71" t="inlineStr">
        <is>
          <t>CC-2276</t>
        </is>
      </c>
      <c r="K59" s="71" t="inlineStr">
        <is>
          <t>GL-6320</t>
        </is>
      </c>
      <c r="L59" s="69" t="inlineStr">
        <is>
          <t>Approved</t>
        </is>
      </c>
      <c r="M59" s="71" t="inlineStr"/>
      <c r="N59" s="96" t="inlineStr">
        <is>
          <t>Pending</t>
        </is>
      </c>
      <c r="O59" s="72" t="n">
        <v>45715</v>
      </c>
      <c r="P59" s="91" t="n">
        <v>0</v>
      </c>
      <c r="Q59" s="70" t="inlineStr">
        <is>
          <t>Marco Bianchi</t>
        </is>
      </c>
      <c r="R59" s="70" t="inlineStr">
        <is>
          <t>Lena Schneider</t>
        </is>
      </c>
      <c r="S59" s="70" t="inlineStr"/>
    </row>
    <row r="60" ht="18" customHeight="1">
      <c r="A60" s="114" t="inlineStr">
        <is>
          <t>PO-2025-1059</t>
        </is>
      </c>
      <c r="B60" s="85" t="inlineStr">
        <is>
          <t>EVT-2025-021</t>
        </is>
      </c>
      <c r="C60" s="86" t="inlineStr">
        <is>
          <t>Prime Hospitality Group</t>
        </is>
      </c>
      <c r="D60" s="86" t="inlineStr">
        <is>
          <t>Hotel &amp; Venue</t>
        </is>
      </c>
      <c r="E60" s="89" t="n">
        <v>45765</v>
      </c>
      <c r="F60" s="89" t="n">
        <v>45768</v>
      </c>
      <c r="G60" s="90" t="n">
        <v>3</v>
      </c>
      <c r="H60" s="87" t="n">
        <v>7351.59</v>
      </c>
      <c r="I60" s="85" t="inlineStr">
        <is>
          <t>EUR</t>
        </is>
      </c>
      <c r="J60" s="85" t="inlineStr">
        <is>
          <t>CC-3938</t>
        </is>
      </c>
      <c r="K60" s="85" t="inlineStr">
        <is>
          <t>GL-6311</t>
        </is>
      </c>
      <c r="L60" s="116" t="inlineStr">
        <is>
          <t>Closed</t>
        </is>
      </c>
      <c r="M60" s="85" t="inlineStr">
        <is>
          <t>INV-01059</t>
        </is>
      </c>
      <c r="N60" s="88" t="inlineStr">
        <is>
          <t>Approved</t>
        </is>
      </c>
      <c r="O60" s="89" t="n">
        <v>45838</v>
      </c>
      <c r="P60" s="90" t="n">
        <v>0</v>
      </c>
      <c r="Q60" s="86" t="inlineStr">
        <is>
          <t>Ana García</t>
        </is>
      </c>
      <c r="R60" s="86" t="inlineStr">
        <is>
          <t>Emma Johansson</t>
        </is>
      </c>
      <c r="S60" s="86" t="inlineStr"/>
    </row>
    <row r="61" ht="18" customHeight="1">
      <c r="A61" s="115" t="inlineStr">
        <is>
          <t>PO-2025-1060</t>
        </is>
      </c>
      <c r="B61" s="71" t="inlineStr">
        <is>
          <t>EVT-2025-021</t>
        </is>
      </c>
      <c r="C61" s="70" t="inlineStr">
        <is>
          <t>MedAudio AV Solutions</t>
        </is>
      </c>
      <c r="D61" s="70" t="inlineStr">
        <is>
          <t>AV &amp; Technology</t>
        </is>
      </c>
      <c r="E61" s="72" t="n">
        <v>45817</v>
      </c>
      <c r="F61" s="72" t="n">
        <v>45827</v>
      </c>
      <c r="G61" s="91" t="n">
        <v>10</v>
      </c>
      <c r="H61" s="73" t="n">
        <v>27627.65</v>
      </c>
      <c r="I61" s="71" t="inlineStr">
        <is>
          <t>EUR</t>
        </is>
      </c>
      <c r="J61" s="71" t="inlineStr">
        <is>
          <t>CC-5625</t>
        </is>
      </c>
      <c r="K61" s="71" t="inlineStr">
        <is>
          <t>GL-6330</t>
        </is>
      </c>
      <c r="L61" s="69" t="inlineStr">
        <is>
          <t>Approved</t>
        </is>
      </c>
      <c r="M61" s="71" t="inlineStr">
        <is>
          <t>INV-01060</t>
        </is>
      </c>
      <c r="N61" s="93" t="inlineStr">
        <is>
          <t>Overdue</t>
        </is>
      </c>
      <c r="O61" s="72" t="n">
        <v>45851</v>
      </c>
      <c r="P61" s="94" t="n">
        <v>346</v>
      </c>
      <c r="Q61" s="70" t="inlineStr">
        <is>
          <t>Lucas Dupont</t>
        </is>
      </c>
      <c r="R61" s="70" t="inlineStr">
        <is>
          <t>Marco Bianchi</t>
        </is>
      </c>
      <c r="S61" s="70" t="inlineStr"/>
    </row>
    <row r="62" ht="18" customHeight="1">
      <c r="A62" s="114" t="inlineStr">
        <is>
          <t>PO-2025-1061</t>
        </is>
      </c>
      <c r="B62" s="85" t="inlineStr">
        <is>
          <t>EVT-2025-021</t>
        </is>
      </c>
      <c r="C62" s="86" t="inlineStr">
        <is>
          <t>Venue Masters EMEA</t>
        </is>
      </c>
      <c r="D62" s="86" t="inlineStr">
        <is>
          <t>Venue Sourcing</t>
        </is>
      </c>
      <c r="E62" s="89" t="n">
        <v>45786</v>
      </c>
      <c r="F62" s="89" t="n">
        <v>45796</v>
      </c>
      <c r="G62" s="90" t="n">
        <v>10</v>
      </c>
      <c r="H62" s="87" t="n">
        <v>78754.19</v>
      </c>
      <c r="I62" s="85" t="inlineStr">
        <is>
          <t>EUR</t>
        </is>
      </c>
      <c r="J62" s="85" t="inlineStr">
        <is>
          <t>CC-1130</t>
        </is>
      </c>
      <c r="K62" s="85" t="inlineStr">
        <is>
          <t>GL-6312</t>
        </is>
      </c>
      <c r="L62" s="76" t="inlineStr">
        <is>
          <t>Pending Approval</t>
        </is>
      </c>
      <c r="M62" s="85" t="inlineStr"/>
      <c r="N62" s="96" t="inlineStr">
        <is>
          <t>Cancelled</t>
        </is>
      </c>
      <c r="O62" s="89" t="n">
        <v>45851</v>
      </c>
      <c r="P62" s="90" t="n">
        <v>0</v>
      </c>
      <c r="Q62" s="86" t="inlineStr">
        <is>
          <t>Isabel Ferreira</t>
        </is>
      </c>
      <c r="R62" s="86" t="inlineStr">
        <is>
          <t>David O'Brien</t>
        </is>
      </c>
      <c r="S62" s="86" t="inlineStr"/>
    </row>
    <row r="63" ht="18" customHeight="1">
      <c r="A63" s="115" t="inlineStr">
        <is>
          <t>PO-2025-1062</t>
        </is>
      </c>
      <c r="B63" s="71" t="inlineStr">
        <is>
          <t>EVT-2025-022</t>
        </is>
      </c>
      <c r="C63" s="70" t="inlineStr">
        <is>
          <t>Compliance Expert Ltd</t>
        </is>
      </c>
      <c r="D63" s="70" t="inlineStr">
        <is>
          <t>Compliance &amp; Legal</t>
        </is>
      </c>
      <c r="E63" s="72" t="n">
        <v>45570</v>
      </c>
      <c r="F63" s="72" t="n">
        <v>45577</v>
      </c>
      <c r="G63" s="91" t="n">
        <v>7</v>
      </c>
      <c r="H63" s="73" t="n">
        <v>12280.65</v>
      </c>
      <c r="I63" s="71" t="inlineStr">
        <is>
          <t>EUR</t>
        </is>
      </c>
      <c r="J63" s="71" t="inlineStr">
        <is>
          <t>CC-4974</t>
        </is>
      </c>
      <c r="K63" s="71" t="inlineStr">
        <is>
          <t>GL-6315</t>
        </is>
      </c>
      <c r="L63" s="69" t="inlineStr">
        <is>
          <t>Approved</t>
        </is>
      </c>
      <c r="M63" s="71" t="inlineStr">
        <is>
          <t>INV-01062</t>
        </is>
      </c>
      <c r="N63" s="88" t="inlineStr">
        <is>
          <t>Approved</t>
        </is>
      </c>
      <c r="O63" s="72" t="n">
        <v>45650</v>
      </c>
      <c r="P63" s="91" t="n">
        <v>0</v>
      </c>
      <c r="Q63" s="70" t="inlineStr">
        <is>
          <t>David O'Brien</t>
        </is>
      </c>
      <c r="R63" s="70" t="inlineStr">
        <is>
          <t>Carlos Navarro</t>
        </is>
      </c>
      <c r="S63" s="70" t="inlineStr"/>
    </row>
    <row r="64" ht="18" customHeight="1">
      <c r="A64" s="114" t="inlineStr">
        <is>
          <t>PO-2025-1063</t>
        </is>
      </c>
      <c r="B64" s="85" t="inlineStr">
        <is>
          <t>EVT-2025-023</t>
        </is>
      </c>
      <c r="C64" s="86" t="inlineStr">
        <is>
          <t>AVIAWORLD Travel</t>
        </is>
      </c>
      <c r="D64" s="86" t="inlineStr">
        <is>
          <t>Travel &amp; Air</t>
        </is>
      </c>
      <c r="E64" s="89" t="n">
        <v>45725</v>
      </c>
      <c r="F64" s="89" t="n">
        <v>45731</v>
      </c>
      <c r="G64" s="90" t="n">
        <v>6</v>
      </c>
      <c r="H64" s="87" t="n">
        <v>59854.01</v>
      </c>
      <c r="I64" s="85" t="inlineStr">
        <is>
          <t>EUR</t>
        </is>
      </c>
      <c r="J64" s="85" t="inlineStr">
        <is>
          <t>CC-9954</t>
        </is>
      </c>
      <c r="K64" s="85" t="inlineStr">
        <is>
          <t>GL-6330</t>
        </is>
      </c>
      <c r="L64" s="76" t="inlineStr">
        <is>
          <t>Pending Approval</t>
        </is>
      </c>
      <c r="M64" s="85" t="inlineStr"/>
      <c r="N64" s="96" t="inlineStr">
        <is>
          <t>Pending</t>
        </is>
      </c>
      <c r="O64" s="89" t="n">
        <v>45804</v>
      </c>
      <c r="P64" s="90" t="n">
        <v>0</v>
      </c>
      <c r="Q64" s="86" t="inlineStr">
        <is>
          <t>Sophie Müller</t>
        </is>
      </c>
      <c r="R64" s="86" t="inlineStr">
        <is>
          <t>Ana García</t>
        </is>
      </c>
      <c r="S64" s="86" t="inlineStr"/>
    </row>
    <row r="65" ht="18" customHeight="1">
      <c r="A65" s="115" t="inlineStr">
        <is>
          <t>PO-2025-1064</t>
        </is>
      </c>
      <c r="B65" s="71" t="inlineStr">
        <is>
          <t>EVT-2025-023</t>
        </is>
      </c>
      <c r="C65" s="70" t="inlineStr">
        <is>
          <t>MedAudio AV Solutions</t>
        </is>
      </c>
      <c r="D65" s="70" t="inlineStr">
        <is>
          <t>AV &amp; Technology</t>
        </is>
      </c>
      <c r="E65" s="72" t="n">
        <v>45713</v>
      </c>
      <c r="F65" s="72" t="n">
        <v>45722</v>
      </c>
      <c r="G65" s="91" t="n">
        <v>9</v>
      </c>
      <c r="H65" s="73" t="n">
        <v>30239.04</v>
      </c>
      <c r="I65" s="71" t="inlineStr">
        <is>
          <t>EUR</t>
        </is>
      </c>
      <c r="J65" s="71" t="inlineStr">
        <is>
          <t>CC-1391</t>
        </is>
      </c>
      <c r="K65" s="71" t="inlineStr">
        <is>
          <t>GL-6311</t>
        </is>
      </c>
      <c r="L65" s="116" t="inlineStr">
        <is>
          <t>Closed</t>
        </is>
      </c>
      <c r="M65" s="71" t="inlineStr">
        <is>
          <t>INV-01064</t>
        </is>
      </c>
      <c r="N65" s="93" t="inlineStr">
        <is>
          <t>Overdue</t>
        </is>
      </c>
      <c r="O65" s="72" t="n">
        <v>45802</v>
      </c>
      <c r="P65" s="94" t="n">
        <v>395</v>
      </c>
      <c r="Q65" s="70" t="inlineStr">
        <is>
          <t>Lucas Dupont</t>
        </is>
      </c>
      <c r="R65" s="70" t="inlineStr">
        <is>
          <t>Maria Kowalski</t>
        </is>
      </c>
      <c r="S65" s="70" t="inlineStr"/>
    </row>
    <row r="66" ht="18" customHeight="1">
      <c r="A66" s="114" t="inlineStr">
        <is>
          <t>PO-2025-1065</t>
        </is>
      </c>
      <c r="B66" s="85" t="inlineStr">
        <is>
          <t>EVT-2025-023</t>
        </is>
      </c>
      <c r="C66" s="86" t="inlineStr">
        <is>
          <t>Catering Excellence</t>
        </is>
      </c>
      <c r="D66" s="86" t="inlineStr">
        <is>
          <t>F&amp;B / Catering</t>
        </is>
      </c>
      <c r="E66" s="89" t="n">
        <v>45716</v>
      </c>
      <c r="F66" s="89" t="n">
        <v>45719</v>
      </c>
      <c r="G66" s="90" t="n">
        <v>3</v>
      </c>
      <c r="H66" s="87" t="n">
        <v>5382.47</v>
      </c>
      <c r="I66" s="85" t="inlineStr">
        <is>
          <t>EUR</t>
        </is>
      </c>
      <c r="J66" s="85" t="inlineStr">
        <is>
          <t>CC-6488</t>
        </is>
      </c>
      <c r="K66" s="85" t="inlineStr">
        <is>
          <t>GL-6310</t>
        </is>
      </c>
      <c r="L66" s="93" t="inlineStr">
        <is>
          <t>Cancelled</t>
        </is>
      </c>
      <c r="M66" s="85" t="inlineStr">
        <is>
          <t>INV-01065</t>
        </is>
      </c>
      <c r="N66" s="69" t="inlineStr">
        <is>
          <t>Paid</t>
        </is>
      </c>
      <c r="O66" s="89" t="n">
        <v>45799</v>
      </c>
      <c r="P66" s="90" t="n">
        <v>0</v>
      </c>
      <c r="Q66" s="86" t="inlineStr">
        <is>
          <t>Emma Johansson</t>
        </is>
      </c>
      <c r="R66" s="86" t="inlineStr">
        <is>
          <t>Thomas Dubois</t>
        </is>
      </c>
      <c r="S66" s="86" t="inlineStr"/>
    </row>
    <row r="67" ht="18" customHeight="1">
      <c r="A67" s="115" t="inlineStr">
        <is>
          <t>PO-2025-1066</t>
        </is>
      </c>
      <c r="B67" s="71" t="inlineStr">
        <is>
          <t>EVT-2025-024</t>
        </is>
      </c>
      <c r="C67" s="70" t="inlineStr">
        <is>
          <t>AVIAWORLD Travel</t>
        </is>
      </c>
      <c r="D67" s="70" t="inlineStr">
        <is>
          <t>Travel &amp; Air</t>
        </is>
      </c>
      <c r="E67" s="72" t="n">
        <v>45857</v>
      </c>
      <c r="F67" s="72" t="n">
        <v>45864</v>
      </c>
      <c r="G67" s="91" t="n">
        <v>7</v>
      </c>
      <c r="H67" s="73" t="n">
        <v>68089.28999999999</v>
      </c>
      <c r="I67" s="71" t="inlineStr">
        <is>
          <t>EUR</t>
        </is>
      </c>
      <c r="J67" s="71" t="inlineStr">
        <is>
          <t>CC-2703</t>
        </is>
      </c>
      <c r="K67" s="71" t="inlineStr">
        <is>
          <t>GL-6311</t>
        </is>
      </c>
      <c r="L67" s="116" t="inlineStr">
        <is>
          <t>Closed</t>
        </is>
      </c>
      <c r="M67" s="71" t="inlineStr">
        <is>
          <t>INV-01066</t>
        </is>
      </c>
      <c r="N67" s="69" t="inlineStr">
        <is>
          <t>Paid</t>
        </is>
      </c>
      <c r="O67" s="72" t="n">
        <v>45933</v>
      </c>
      <c r="P67" s="91" t="n">
        <v>0</v>
      </c>
      <c r="Q67" s="70" t="inlineStr">
        <is>
          <t>James Wilson</t>
        </is>
      </c>
      <c r="R67" s="70" t="inlineStr">
        <is>
          <t>Emma Johansson</t>
        </is>
      </c>
      <c r="S67" s="70" t="inlineStr"/>
    </row>
    <row r="68" ht="18" customHeight="1">
      <c r="A68" s="114" t="inlineStr">
        <is>
          <t>PO-2025-1067</t>
        </is>
      </c>
      <c r="B68" s="85" t="inlineStr">
        <is>
          <t>EVT-2025-025</t>
        </is>
      </c>
      <c r="C68" s="86" t="inlineStr">
        <is>
          <t>InterCongress PCO</t>
        </is>
      </c>
      <c r="D68" s="86" t="inlineStr">
        <is>
          <t>PCO / Event Agency</t>
        </is>
      </c>
      <c r="E68" s="89" t="n">
        <v>45752</v>
      </c>
      <c r="F68" s="89" t="n">
        <v>45755</v>
      </c>
      <c r="G68" s="90" t="n">
        <v>3</v>
      </c>
      <c r="H68" s="87" t="n">
        <v>11842.94</v>
      </c>
      <c r="I68" s="85" t="inlineStr">
        <is>
          <t>EUR</t>
        </is>
      </c>
      <c r="J68" s="85" t="inlineStr">
        <is>
          <t>CC-3332</t>
        </is>
      </c>
      <c r="K68" s="85" t="inlineStr">
        <is>
          <t>GL-6325</t>
        </is>
      </c>
      <c r="L68" s="69" t="inlineStr">
        <is>
          <t>Approved</t>
        </is>
      </c>
      <c r="M68" s="85" t="inlineStr"/>
      <c r="N68" s="93" t="inlineStr">
        <is>
          <t>Overdue</t>
        </is>
      </c>
      <c r="O68" s="89" t="n">
        <v>45813</v>
      </c>
      <c r="P68" s="94" t="n">
        <v>384</v>
      </c>
      <c r="Q68" s="86" t="inlineStr">
        <is>
          <t>Marco Bianchi</t>
        </is>
      </c>
      <c r="R68" s="86" t="inlineStr">
        <is>
          <t>Ana García</t>
        </is>
      </c>
      <c r="S68" s="86" t="inlineStr"/>
    </row>
    <row r="69" ht="18" customHeight="1">
      <c r="A69" s="115" t="inlineStr">
        <is>
          <t>PO-2025-1068</t>
        </is>
      </c>
      <c r="B69" s="71" t="inlineStr">
        <is>
          <t>EVT-2025-025</t>
        </is>
      </c>
      <c r="C69" s="70" t="inlineStr">
        <is>
          <t>HealthMarketing Group</t>
        </is>
      </c>
      <c r="D69" s="70" t="inlineStr">
        <is>
          <t>Marketing Agency</t>
        </is>
      </c>
      <c r="E69" s="72" t="n">
        <v>45728</v>
      </c>
      <c r="F69" s="72" t="n">
        <v>45734</v>
      </c>
      <c r="G69" s="91" t="n">
        <v>6</v>
      </c>
      <c r="H69" s="73" t="n">
        <v>79580.96000000001</v>
      </c>
      <c r="I69" s="71" t="inlineStr">
        <is>
          <t>EUR</t>
        </is>
      </c>
      <c r="J69" s="71" t="inlineStr">
        <is>
          <t>CC-9515</t>
        </is>
      </c>
      <c r="K69" s="71" t="inlineStr">
        <is>
          <t>GL-6315</t>
        </is>
      </c>
      <c r="L69" s="93" t="inlineStr">
        <is>
          <t>Cancelled</t>
        </is>
      </c>
      <c r="M69" s="71" t="inlineStr">
        <is>
          <t>INV-01068</t>
        </is>
      </c>
      <c r="N69" s="93" t="inlineStr">
        <is>
          <t>Overdue</t>
        </is>
      </c>
      <c r="O69" s="72" t="n">
        <v>45816</v>
      </c>
      <c r="P69" s="94" t="n">
        <v>381</v>
      </c>
      <c r="Q69" s="70" t="inlineStr">
        <is>
          <t>Lucas Dupont</t>
        </is>
      </c>
      <c r="R69" s="70" t="inlineStr">
        <is>
          <t>Carlos Navarro</t>
        </is>
      </c>
      <c r="S69" s="70" t="inlineStr"/>
    </row>
    <row r="70" ht="18" customHeight="1">
      <c r="A70" s="114" t="inlineStr">
        <is>
          <t>PO-2025-1069</t>
        </is>
      </c>
      <c r="B70" s="85" t="inlineStr">
        <is>
          <t>EVT-2025-025</t>
        </is>
      </c>
      <c r="C70" s="86" t="inlineStr">
        <is>
          <t>PharmaLogix</t>
        </is>
      </c>
      <c r="D70" s="86" t="inlineStr">
        <is>
          <t>Logistics &amp; Transport</t>
        </is>
      </c>
      <c r="E70" s="89" t="n">
        <v>45752</v>
      </c>
      <c r="F70" s="89" t="n">
        <v>45756</v>
      </c>
      <c r="G70" s="90" t="n">
        <v>4</v>
      </c>
      <c r="H70" s="87" t="n">
        <v>63861.5</v>
      </c>
      <c r="I70" s="85" t="inlineStr">
        <is>
          <t>EUR</t>
        </is>
      </c>
      <c r="J70" s="85" t="inlineStr">
        <is>
          <t>CC-2565</t>
        </is>
      </c>
      <c r="K70" s="85" t="inlineStr">
        <is>
          <t>GL-6320</t>
        </is>
      </c>
      <c r="L70" s="76" t="inlineStr">
        <is>
          <t>Pending Approval</t>
        </is>
      </c>
      <c r="M70" s="85" t="inlineStr">
        <is>
          <t>INV-01069</t>
        </is>
      </c>
      <c r="N70" s="76" t="inlineStr">
        <is>
          <t>Disputed</t>
        </is>
      </c>
      <c r="O70" s="89" t="n">
        <v>45829</v>
      </c>
      <c r="P70" s="90" t="n">
        <v>0</v>
      </c>
      <c r="Q70" s="86" t="inlineStr">
        <is>
          <t>Maria Kowalski</t>
        </is>
      </c>
      <c r="R70" s="86" t="inlineStr">
        <is>
          <t>Emma Johansson</t>
        </is>
      </c>
      <c r="S70" s="86" t="inlineStr"/>
    </row>
    <row r="71" ht="18" customHeight="1">
      <c r="A71" s="115" t="inlineStr">
        <is>
          <t>PO-2025-1070</t>
        </is>
      </c>
      <c r="B71" s="71" t="inlineStr">
        <is>
          <t>EVT-2025-025</t>
        </is>
      </c>
      <c r="C71" s="70" t="inlineStr">
        <is>
          <t>DigitalPharma Studio</t>
        </is>
      </c>
      <c r="D71" s="70" t="inlineStr">
        <is>
          <t>Digital &amp; Web</t>
        </is>
      </c>
      <c r="E71" s="72" t="n">
        <v>45785</v>
      </c>
      <c r="F71" s="72" t="n">
        <v>45788</v>
      </c>
      <c r="G71" s="91" t="n">
        <v>3</v>
      </c>
      <c r="H71" s="73" t="n">
        <v>69508.39999999999</v>
      </c>
      <c r="I71" s="71" t="inlineStr">
        <is>
          <t>EUR</t>
        </is>
      </c>
      <c r="J71" s="71" t="inlineStr">
        <is>
          <t>CC-8126</t>
        </is>
      </c>
      <c r="K71" s="71" t="inlineStr">
        <is>
          <t>GL-6325</t>
        </is>
      </c>
      <c r="L71" s="76" t="inlineStr">
        <is>
          <t>Pending Approval</t>
        </is>
      </c>
      <c r="M71" s="71" t="inlineStr">
        <is>
          <t>INV-01070</t>
        </is>
      </c>
      <c r="N71" s="88" t="inlineStr">
        <is>
          <t>Approved</t>
        </is>
      </c>
      <c r="O71" s="72" t="n">
        <v>45819</v>
      </c>
      <c r="P71" s="91" t="n">
        <v>0</v>
      </c>
      <c r="Q71" s="70" t="inlineStr">
        <is>
          <t>James Wilson</t>
        </is>
      </c>
      <c r="R71" s="70" t="inlineStr">
        <is>
          <t>Isabel Ferreira</t>
        </is>
      </c>
      <c r="S71" s="70" t="inlineStr"/>
    </row>
    <row r="72" ht="18" customHeight="1">
      <c r="A72" s="114" t="inlineStr">
        <is>
          <t>PO-2025-1071</t>
        </is>
      </c>
      <c r="B72" s="85" t="inlineStr">
        <is>
          <t>EVT-2025-026</t>
        </is>
      </c>
      <c r="C72" s="86" t="inlineStr">
        <is>
          <t>TechEvent Systems</t>
        </is>
      </c>
      <c r="D72" s="86" t="inlineStr">
        <is>
          <t>Registration &amp; Tech</t>
        </is>
      </c>
      <c r="E72" s="89" t="n">
        <v>45647</v>
      </c>
      <c r="F72" s="89" t="n">
        <v>45655</v>
      </c>
      <c r="G72" s="90" t="n">
        <v>8</v>
      </c>
      <c r="H72" s="87" t="n">
        <v>9416.700000000001</v>
      </c>
      <c r="I72" s="85" t="inlineStr">
        <is>
          <t>EUR</t>
        </is>
      </c>
      <c r="J72" s="85" t="inlineStr">
        <is>
          <t>CC-7438</t>
        </is>
      </c>
      <c r="K72" s="85" t="inlineStr">
        <is>
          <t>GL-6325</t>
        </is>
      </c>
      <c r="L72" s="93" t="inlineStr">
        <is>
          <t>Cancelled</t>
        </is>
      </c>
      <c r="M72" s="85" t="inlineStr">
        <is>
          <t>INV-01071</t>
        </is>
      </c>
      <c r="N72" s="95" t="inlineStr">
        <is>
          <t>Invoiced</t>
        </is>
      </c>
      <c r="O72" s="89" t="n">
        <v>45693</v>
      </c>
      <c r="P72" s="90" t="n">
        <v>0</v>
      </c>
      <c r="Q72" s="86" t="inlineStr">
        <is>
          <t>Lucas Dupont</t>
        </is>
      </c>
      <c r="R72" s="86" t="inlineStr">
        <is>
          <t>Lucas Dupont</t>
        </is>
      </c>
      <c r="S72" s="86" t="inlineStr"/>
    </row>
    <row r="73" ht="18" customHeight="1">
      <c r="A73" s="115" t="inlineStr">
        <is>
          <t>PO-2025-1072</t>
        </is>
      </c>
      <c r="B73" s="71" t="inlineStr">
        <is>
          <t>EVT-2025-026</t>
        </is>
      </c>
      <c r="C73" s="70" t="inlineStr">
        <is>
          <t>Translingua Pro</t>
        </is>
      </c>
      <c r="D73" s="70" t="inlineStr">
        <is>
          <t>Translation &amp; Interpretation</t>
        </is>
      </c>
      <c r="E73" s="72" t="n">
        <v>45633</v>
      </c>
      <c r="F73" s="72" t="n">
        <v>45640</v>
      </c>
      <c r="G73" s="91" t="n">
        <v>7</v>
      </c>
      <c r="H73" s="73" t="n">
        <v>55572.04</v>
      </c>
      <c r="I73" s="71" t="inlineStr">
        <is>
          <t>EUR</t>
        </is>
      </c>
      <c r="J73" s="71" t="inlineStr">
        <is>
          <t>CC-4827</t>
        </is>
      </c>
      <c r="K73" s="71" t="inlineStr">
        <is>
          <t>GL-6310</t>
        </is>
      </c>
      <c r="L73" s="76" t="inlineStr">
        <is>
          <t>Pending Approval</t>
        </is>
      </c>
      <c r="M73" s="71" t="inlineStr">
        <is>
          <t>INV-01072</t>
        </is>
      </c>
      <c r="N73" s="96" t="inlineStr">
        <is>
          <t>Cancelled</t>
        </is>
      </c>
      <c r="O73" s="72" t="n">
        <v>45691</v>
      </c>
      <c r="P73" s="91" t="n">
        <v>0</v>
      </c>
      <c r="Q73" s="70" t="inlineStr">
        <is>
          <t>Sophie Müller</t>
        </is>
      </c>
      <c r="R73" s="70" t="inlineStr">
        <is>
          <t>David O'Brien</t>
        </is>
      </c>
      <c r="S73" s="70" t="inlineStr"/>
    </row>
    <row r="74" ht="18" customHeight="1">
      <c r="A74" s="114" t="inlineStr">
        <is>
          <t>PO-2025-1073</t>
        </is>
      </c>
      <c r="B74" s="85" t="inlineStr">
        <is>
          <t>EVT-2025-026</t>
        </is>
      </c>
      <c r="C74" s="86" t="inlineStr">
        <is>
          <t>MedComm Agency</t>
        </is>
      </c>
      <c r="D74" s="86" t="inlineStr">
        <is>
          <t>Medical Communication</t>
        </is>
      </c>
      <c r="E74" s="89" t="n">
        <v>45647</v>
      </c>
      <c r="F74" s="89" t="n">
        <v>45652</v>
      </c>
      <c r="G74" s="90" t="n">
        <v>5</v>
      </c>
      <c r="H74" s="87" t="n">
        <v>9532.030000000001</v>
      </c>
      <c r="I74" s="85" t="inlineStr">
        <is>
          <t>EUR</t>
        </is>
      </c>
      <c r="J74" s="85" t="inlineStr">
        <is>
          <t>CC-2731</t>
        </is>
      </c>
      <c r="K74" s="85" t="inlineStr">
        <is>
          <t>GL-6311</t>
        </is>
      </c>
      <c r="L74" s="88" t="inlineStr">
        <is>
          <t>Sent to Supplier</t>
        </is>
      </c>
      <c r="M74" s="85" t="inlineStr"/>
      <c r="N74" s="88" t="inlineStr">
        <is>
          <t>Approved</t>
        </is>
      </c>
      <c r="O74" s="89" t="n">
        <v>45683</v>
      </c>
      <c r="P74" s="90" t="n">
        <v>0</v>
      </c>
      <c r="Q74" s="86" t="inlineStr">
        <is>
          <t>Carlos Navarro</t>
        </is>
      </c>
      <c r="R74" s="86" t="inlineStr">
        <is>
          <t>Lucas Dupont</t>
        </is>
      </c>
      <c r="S74" s="86" t="inlineStr"/>
    </row>
    <row r="75" ht="18" customHeight="1">
      <c r="A75" s="115" t="inlineStr">
        <is>
          <t>PO-2025-1074</t>
        </is>
      </c>
      <c r="B75" s="71" t="inlineStr">
        <is>
          <t>EVT-2025-027</t>
        </is>
      </c>
      <c r="C75" s="70" t="inlineStr">
        <is>
          <t>DigitalPharma Studio</t>
        </is>
      </c>
      <c r="D75" s="70" t="inlineStr">
        <is>
          <t>Digital &amp; Web</t>
        </is>
      </c>
      <c r="E75" s="72" t="n">
        <v>45701</v>
      </c>
      <c r="F75" s="72" t="n">
        <v>45705</v>
      </c>
      <c r="G75" s="91" t="n">
        <v>4</v>
      </c>
      <c r="H75" s="73" t="n">
        <v>45811.3</v>
      </c>
      <c r="I75" s="71" t="inlineStr">
        <is>
          <t>EUR</t>
        </is>
      </c>
      <c r="J75" s="71" t="inlineStr">
        <is>
          <t>CC-9780</t>
        </is>
      </c>
      <c r="K75" s="71" t="inlineStr">
        <is>
          <t>GL-6312</t>
        </is>
      </c>
      <c r="L75" s="76" t="inlineStr">
        <is>
          <t>Pending Approval</t>
        </is>
      </c>
      <c r="M75" s="71" t="inlineStr">
        <is>
          <t>INV-01074</t>
        </is>
      </c>
      <c r="N75" s="95" t="inlineStr">
        <is>
          <t>Invoiced</t>
        </is>
      </c>
      <c r="O75" s="72" t="n">
        <v>45757</v>
      </c>
      <c r="P75" s="91" t="n">
        <v>0</v>
      </c>
      <c r="Q75" s="70" t="inlineStr">
        <is>
          <t>Carlos Navarro</t>
        </is>
      </c>
      <c r="R75" s="70" t="inlineStr">
        <is>
          <t>Isabel Ferreira</t>
        </is>
      </c>
      <c r="S75" s="70" t="inlineStr"/>
    </row>
    <row r="76" ht="18" customHeight="1">
      <c r="A76" s="114" t="inlineStr">
        <is>
          <t>PO-2025-1075</t>
        </is>
      </c>
      <c r="B76" s="85" t="inlineStr">
        <is>
          <t>EVT-2025-028</t>
        </is>
      </c>
      <c r="C76" s="86" t="inlineStr">
        <is>
          <t>TechEvent Systems</t>
        </is>
      </c>
      <c r="D76" s="86" t="inlineStr">
        <is>
          <t>Registration &amp; Tech</t>
        </is>
      </c>
      <c r="E76" s="89" t="n">
        <v>45782</v>
      </c>
      <c r="F76" s="89" t="n">
        <v>45789</v>
      </c>
      <c r="G76" s="90" t="n">
        <v>7</v>
      </c>
      <c r="H76" s="87" t="n">
        <v>29428.4</v>
      </c>
      <c r="I76" s="85" t="inlineStr">
        <is>
          <t>EUR</t>
        </is>
      </c>
      <c r="J76" s="85" t="inlineStr">
        <is>
          <t>CC-2964</t>
        </is>
      </c>
      <c r="K76" s="85" t="inlineStr">
        <is>
          <t>GL-6310</t>
        </is>
      </c>
      <c r="L76" s="76" t="inlineStr">
        <is>
          <t>Pending Approval</t>
        </is>
      </c>
      <c r="M76" s="85" t="inlineStr">
        <is>
          <t>INV-01075</t>
        </is>
      </c>
      <c r="N76" s="88" t="inlineStr">
        <is>
          <t>Approved</t>
        </is>
      </c>
      <c r="O76" s="89" t="n">
        <v>45841</v>
      </c>
      <c r="P76" s="90" t="n">
        <v>0</v>
      </c>
      <c r="Q76" s="86" t="inlineStr">
        <is>
          <t>Maria Kowalski</t>
        </is>
      </c>
      <c r="R76" s="86" t="inlineStr">
        <is>
          <t>Isabel Ferreira</t>
        </is>
      </c>
      <c r="S76" s="86" t="inlineStr"/>
    </row>
    <row r="77" ht="18" customHeight="1">
      <c r="A77" s="115" t="inlineStr">
        <is>
          <t>PO-2025-1076</t>
        </is>
      </c>
      <c r="B77" s="71" t="inlineStr">
        <is>
          <t>EVT-2025-028</t>
        </is>
      </c>
      <c r="C77" s="70" t="inlineStr">
        <is>
          <t>KOL Connect</t>
        </is>
      </c>
      <c r="D77" s="70" t="inlineStr">
        <is>
          <t>Speaker Management</t>
        </is>
      </c>
      <c r="E77" s="72" t="n">
        <v>45766</v>
      </c>
      <c r="F77" s="72" t="n">
        <v>45769</v>
      </c>
      <c r="G77" s="91" t="n">
        <v>3</v>
      </c>
      <c r="H77" s="73" t="n">
        <v>68087.44</v>
      </c>
      <c r="I77" s="71" t="inlineStr">
        <is>
          <t>EUR</t>
        </is>
      </c>
      <c r="J77" s="71" t="inlineStr">
        <is>
          <t>CC-4522</t>
        </is>
      </c>
      <c r="K77" s="71" t="inlineStr">
        <is>
          <t>GL-6330</t>
        </is>
      </c>
      <c r="L77" s="69" t="inlineStr">
        <is>
          <t>Approved</t>
        </is>
      </c>
      <c r="M77" s="71" t="inlineStr">
        <is>
          <t>INV-01076</t>
        </is>
      </c>
      <c r="N77" s="95" t="inlineStr">
        <is>
          <t>Invoiced</t>
        </is>
      </c>
      <c r="O77" s="72" t="n">
        <v>45848</v>
      </c>
      <c r="P77" s="91" t="n">
        <v>0</v>
      </c>
      <c r="Q77" s="70" t="inlineStr">
        <is>
          <t>Sophie Müller</t>
        </is>
      </c>
      <c r="R77" s="70" t="inlineStr">
        <is>
          <t>Marco Bianchi</t>
        </is>
      </c>
      <c r="S77" s="70" t="inlineStr"/>
    </row>
    <row r="78" ht="18" customHeight="1">
      <c r="A78" s="114" t="inlineStr">
        <is>
          <t>PO-2025-1077</t>
        </is>
      </c>
      <c r="B78" s="85" t="inlineStr">
        <is>
          <t>EVT-2025-028</t>
        </is>
      </c>
      <c r="C78" s="86" t="inlineStr">
        <is>
          <t>AVIAWORLD Travel</t>
        </is>
      </c>
      <c r="D78" s="86" t="inlineStr">
        <is>
          <t>Travel &amp; Air</t>
        </is>
      </c>
      <c r="E78" s="89" t="n">
        <v>45771</v>
      </c>
      <c r="F78" s="89" t="n">
        <v>45777</v>
      </c>
      <c r="G78" s="90" t="n">
        <v>6</v>
      </c>
      <c r="H78" s="87" t="n">
        <v>46779.8</v>
      </c>
      <c r="I78" s="85" t="inlineStr">
        <is>
          <t>EUR</t>
        </is>
      </c>
      <c r="J78" s="85" t="inlineStr">
        <is>
          <t>CC-6828</t>
        </is>
      </c>
      <c r="K78" s="85" t="inlineStr">
        <is>
          <t>GL-6315</t>
        </is>
      </c>
      <c r="L78" s="116" t="inlineStr">
        <is>
          <t>Closed</t>
        </is>
      </c>
      <c r="M78" s="85" t="inlineStr">
        <is>
          <t>INV-01077</t>
        </is>
      </c>
      <c r="N78" s="96" t="inlineStr">
        <is>
          <t>Cancelled</t>
        </is>
      </c>
      <c r="O78" s="89" t="n">
        <v>45846</v>
      </c>
      <c r="P78" s="90" t="n">
        <v>0</v>
      </c>
      <c r="Q78" s="86" t="inlineStr">
        <is>
          <t>Ana García</t>
        </is>
      </c>
      <c r="R78" s="86" t="inlineStr">
        <is>
          <t>Maria Kowalski</t>
        </is>
      </c>
      <c r="S78" s="86" t="inlineStr"/>
    </row>
    <row r="79" ht="18" customHeight="1">
      <c r="A79" s="115" t="inlineStr">
        <is>
          <t>PO-2025-1078</t>
        </is>
      </c>
      <c r="B79" s="71" t="inlineStr">
        <is>
          <t>EVT-2025-028</t>
        </is>
      </c>
      <c r="C79" s="70" t="inlineStr">
        <is>
          <t>Catering Excellence</t>
        </is>
      </c>
      <c r="D79" s="70" t="inlineStr">
        <is>
          <t>F&amp;B / Catering</t>
        </is>
      </c>
      <c r="E79" s="72" t="n">
        <v>45793</v>
      </c>
      <c r="F79" s="72" t="n">
        <v>45800</v>
      </c>
      <c r="G79" s="91" t="n">
        <v>7</v>
      </c>
      <c r="H79" s="73" t="n">
        <v>54648.18</v>
      </c>
      <c r="I79" s="71" t="inlineStr">
        <is>
          <t>EUR</t>
        </is>
      </c>
      <c r="J79" s="71" t="inlineStr">
        <is>
          <t>CC-3848</t>
        </is>
      </c>
      <c r="K79" s="71" t="inlineStr">
        <is>
          <t>GL-6310</t>
        </is>
      </c>
      <c r="L79" s="88" t="inlineStr">
        <is>
          <t>Sent to Supplier</t>
        </is>
      </c>
      <c r="M79" s="71" t="inlineStr">
        <is>
          <t>INV-01078</t>
        </is>
      </c>
      <c r="N79" s="76" t="inlineStr">
        <is>
          <t>Disputed</t>
        </is>
      </c>
      <c r="O79" s="72" t="n">
        <v>45842</v>
      </c>
      <c r="P79" s="91" t="n">
        <v>0</v>
      </c>
      <c r="Q79" s="70" t="inlineStr">
        <is>
          <t>Carlos Navarro</t>
        </is>
      </c>
      <c r="R79" s="70" t="inlineStr">
        <is>
          <t>Lena Schneider</t>
        </is>
      </c>
      <c r="S79" s="70" t="inlineStr"/>
    </row>
    <row r="80" ht="18" customHeight="1">
      <c r="A80" s="114" t="inlineStr">
        <is>
          <t>PO-2025-1079</t>
        </is>
      </c>
      <c r="B80" s="85" t="inlineStr">
        <is>
          <t>EVT-2025-029</t>
        </is>
      </c>
      <c r="C80" s="86" t="inlineStr">
        <is>
          <t>AVIAWORLD Travel</t>
        </is>
      </c>
      <c r="D80" s="86" t="inlineStr">
        <is>
          <t>Travel &amp; Air</t>
        </is>
      </c>
      <c r="E80" s="89" t="n">
        <v>45699</v>
      </c>
      <c r="F80" s="89" t="n">
        <v>45705</v>
      </c>
      <c r="G80" s="90" t="n">
        <v>6</v>
      </c>
      <c r="H80" s="87" t="n">
        <v>26100.81</v>
      </c>
      <c r="I80" s="85" t="inlineStr">
        <is>
          <t>EUR</t>
        </is>
      </c>
      <c r="J80" s="85" t="inlineStr">
        <is>
          <t>CC-2551</t>
        </is>
      </c>
      <c r="K80" s="85" t="inlineStr">
        <is>
          <t>GL-6315</t>
        </is>
      </c>
      <c r="L80" s="96" t="inlineStr">
        <is>
          <t>Draft</t>
        </is>
      </c>
      <c r="M80" s="85" t="inlineStr">
        <is>
          <t>INV-01079</t>
        </is>
      </c>
      <c r="N80" s="88" t="inlineStr">
        <is>
          <t>Approved</t>
        </is>
      </c>
      <c r="O80" s="89" t="n">
        <v>45776</v>
      </c>
      <c r="P80" s="90" t="n">
        <v>0</v>
      </c>
      <c r="Q80" s="86" t="inlineStr">
        <is>
          <t>Sophie Müller</t>
        </is>
      </c>
      <c r="R80" s="86" t="inlineStr">
        <is>
          <t>Marco Bianchi</t>
        </is>
      </c>
      <c r="S80" s="86" t="inlineStr"/>
    </row>
    <row r="81" ht="18" customHeight="1">
      <c r="A81" s="115" t="inlineStr">
        <is>
          <t>PO-2025-1080</t>
        </is>
      </c>
      <c r="B81" s="71" t="inlineStr">
        <is>
          <t>EVT-2025-029</t>
        </is>
      </c>
      <c r="C81" s="70" t="inlineStr">
        <is>
          <t>MedAudio AV Solutions</t>
        </is>
      </c>
      <c r="D81" s="70" t="inlineStr">
        <is>
          <t>AV &amp; Technology</t>
        </is>
      </c>
      <c r="E81" s="72" t="n">
        <v>45754</v>
      </c>
      <c r="F81" s="72" t="n">
        <v>45757</v>
      </c>
      <c r="G81" s="91" t="n">
        <v>3</v>
      </c>
      <c r="H81" s="73" t="n">
        <v>53272.88</v>
      </c>
      <c r="I81" s="71" t="inlineStr">
        <is>
          <t>EUR</t>
        </is>
      </c>
      <c r="J81" s="71" t="inlineStr">
        <is>
          <t>CC-4641</t>
        </is>
      </c>
      <c r="K81" s="71" t="inlineStr">
        <is>
          <t>GL-6311</t>
        </is>
      </c>
      <c r="L81" s="76" t="inlineStr">
        <is>
          <t>Pending Approval</t>
        </is>
      </c>
      <c r="M81" s="71" t="inlineStr"/>
      <c r="N81" s="76" t="inlineStr">
        <is>
          <t>Disputed</t>
        </is>
      </c>
      <c r="O81" s="72" t="n">
        <v>45784</v>
      </c>
      <c r="P81" s="91" t="n">
        <v>0</v>
      </c>
      <c r="Q81" s="70" t="inlineStr">
        <is>
          <t>Emma Johansson</t>
        </is>
      </c>
      <c r="R81" s="70" t="inlineStr">
        <is>
          <t>Lucas Dupont</t>
        </is>
      </c>
      <c r="S81" s="70" t="inlineStr"/>
    </row>
    <row r="82" ht="18" customHeight="1">
      <c r="A82" s="114" t="inlineStr">
        <is>
          <t>PO-2025-1081</t>
        </is>
      </c>
      <c r="B82" s="85" t="inlineStr">
        <is>
          <t>EVT-2025-029</t>
        </is>
      </c>
      <c r="C82" s="86" t="inlineStr">
        <is>
          <t>Catering Excellence</t>
        </is>
      </c>
      <c r="D82" s="86" t="inlineStr">
        <is>
          <t>F&amp;B / Catering</t>
        </is>
      </c>
      <c r="E82" s="89" t="n">
        <v>45701</v>
      </c>
      <c r="F82" s="89" t="n">
        <v>45705</v>
      </c>
      <c r="G82" s="90" t="n">
        <v>4</v>
      </c>
      <c r="H82" s="87" t="n">
        <v>43377.65</v>
      </c>
      <c r="I82" s="85" t="inlineStr">
        <is>
          <t>EUR</t>
        </is>
      </c>
      <c r="J82" s="85" t="inlineStr">
        <is>
          <t>CC-5240</t>
        </is>
      </c>
      <c r="K82" s="85" t="inlineStr">
        <is>
          <t>GL-6330</t>
        </is>
      </c>
      <c r="L82" s="96" t="inlineStr">
        <is>
          <t>Draft</t>
        </is>
      </c>
      <c r="M82" s="85" t="inlineStr"/>
      <c r="N82" s="95" t="inlineStr">
        <is>
          <t>Invoiced</t>
        </is>
      </c>
      <c r="O82" s="89" t="n">
        <v>45774</v>
      </c>
      <c r="P82" s="90" t="n">
        <v>0</v>
      </c>
      <c r="Q82" s="86" t="inlineStr">
        <is>
          <t>Ana García</t>
        </is>
      </c>
      <c r="R82" s="86" t="inlineStr">
        <is>
          <t>Marco Bianchi</t>
        </is>
      </c>
      <c r="S82" s="86" t="inlineStr"/>
    </row>
    <row r="83" ht="18" customHeight="1">
      <c r="A83" s="115" t="inlineStr">
        <is>
          <t>PO-2025-1082</t>
        </is>
      </c>
      <c r="B83" s="71" t="inlineStr">
        <is>
          <t>EVT-2025-030</t>
        </is>
      </c>
      <c r="C83" s="70" t="inlineStr">
        <is>
          <t>Catering Excellence</t>
        </is>
      </c>
      <c r="D83" s="70" t="inlineStr">
        <is>
          <t>F&amp;B / Catering</t>
        </is>
      </c>
      <c r="E83" s="72" t="n">
        <v>45718</v>
      </c>
      <c r="F83" s="72" t="n">
        <v>45728</v>
      </c>
      <c r="G83" s="91" t="n">
        <v>10</v>
      </c>
      <c r="H83" s="73" t="n">
        <v>46272.3</v>
      </c>
      <c r="I83" s="71" t="inlineStr">
        <is>
          <t>EUR</t>
        </is>
      </c>
      <c r="J83" s="71" t="inlineStr">
        <is>
          <t>CC-3110</t>
        </is>
      </c>
      <c r="K83" s="71" t="inlineStr">
        <is>
          <t>GL-6310</t>
        </is>
      </c>
      <c r="L83" s="69" t="inlineStr">
        <is>
          <t>Approved</t>
        </is>
      </c>
      <c r="M83" s="71" t="inlineStr">
        <is>
          <t>INV-01082</t>
        </is>
      </c>
      <c r="N83" s="88" t="inlineStr">
        <is>
          <t>Approved</t>
        </is>
      </c>
      <c r="O83" s="72" t="n">
        <v>45760</v>
      </c>
      <c r="P83" s="91" t="n">
        <v>0</v>
      </c>
      <c r="Q83" s="70" t="inlineStr">
        <is>
          <t>Marco Bianchi</t>
        </is>
      </c>
      <c r="R83" s="70" t="inlineStr">
        <is>
          <t>Ana García</t>
        </is>
      </c>
      <c r="S83" s="70" t="inlineStr"/>
    </row>
    <row r="84" ht="18" customHeight="1">
      <c r="A84" s="114" t="inlineStr">
        <is>
          <t>PO-2025-1083</t>
        </is>
      </c>
      <c r="B84" s="85" t="inlineStr">
        <is>
          <t>EVT-2025-030</t>
        </is>
      </c>
      <c r="C84" s="86" t="inlineStr">
        <is>
          <t>KOL Connect</t>
        </is>
      </c>
      <c r="D84" s="86" t="inlineStr">
        <is>
          <t>Speaker Management</t>
        </is>
      </c>
      <c r="E84" s="89" t="n">
        <v>45670</v>
      </c>
      <c r="F84" s="89" t="n">
        <v>45680</v>
      </c>
      <c r="G84" s="90" t="n">
        <v>10</v>
      </c>
      <c r="H84" s="87" t="n">
        <v>5881.47</v>
      </c>
      <c r="I84" s="85" t="inlineStr">
        <is>
          <t>EUR</t>
        </is>
      </c>
      <c r="J84" s="85" t="inlineStr">
        <is>
          <t>CC-1829</t>
        </is>
      </c>
      <c r="K84" s="85" t="inlineStr">
        <is>
          <t>GL-6311</t>
        </is>
      </c>
      <c r="L84" s="116" t="inlineStr">
        <is>
          <t>Closed</t>
        </is>
      </c>
      <c r="M84" s="85" t="inlineStr">
        <is>
          <t>INV-01083</t>
        </is>
      </c>
      <c r="N84" s="76" t="inlineStr">
        <is>
          <t>Disputed</t>
        </is>
      </c>
      <c r="O84" s="89" t="n">
        <v>45760</v>
      </c>
      <c r="P84" s="90" t="n">
        <v>0</v>
      </c>
      <c r="Q84" s="86" t="inlineStr">
        <is>
          <t>Emma Johansson</t>
        </is>
      </c>
      <c r="R84" s="86" t="inlineStr">
        <is>
          <t>Thomas Dubois</t>
        </is>
      </c>
      <c r="S84" s="86" t="inlineStr"/>
    </row>
    <row r="85" ht="18" customHeight="1">
      <c r="A85" s="115" t="inlineStr">
        <is>
          <t>PO-2025-1084</t>
        </is>
      </c>
      <c r="B85" s="71" t="inlineStr">
        <is>
          <t>EVT-2025-030</t>
        </is>
      </c>
      <c r="C85" s="70" t="inlineStr">
        <is>
          <t>PharmaLogix</t>
        </is>
      </c>
      <c r="D85" s="70" t="inlineStr">
        <is>
          <t>Logistics &amp; Transport</t>
        </is>
      </c>
      <c r="E85" s="72" t="n">
        <v>45699</v>
      </c>
      <c r="F85" s="72" t="n">
        <v>45709</v>
      </c>
      <c r="G85" s="91" t="n">
        <v>10</v>
      </c>
      <c r="H85" s="73" t="n">
        <v>36479.45</v>
      </c>
      <c r="I85" s="71" t="inlineStr">
        <is>
          <t>EUR</t>
        </is>
      </c>
      <c r="J85" s="71" t="inlineStr">
        <is>
          <t>CC-1483</t>
        </is>
      </c>
      <c r="K85" s="71" t="inlineStr">
        <is>
          <t>GL-6315</t>
        </is>
      </c>
      <c r="L85" s="93" t="inlineStr">
        <is>
          <t>Cancelled</t>
        </is>
      </c>
      <c r="M85" s="71" t="inlineStr">
        <is>
          <t>INV-01084</t>
        </is>
      </c>
      <c r="N85" s="93" t="inlineStr">
        <is>
          <t>Overdue</t>
        </is>
      </c>
      <c r="O85" s="72" t="n">
        <v>45754</v>
      </c>
      <c r="P85" s="94" t="n">
        <v>443</v>
      </c>
      <c r="Q85" s="70" t="inlineStr">
        <is>
          <t>Emma Johansson</t>
        </is>
      </c>
      <c r="R85" s="70" t="inlineStr">
        <is>
          <t>Sophie Müller</t>
        </is>
      </c>
      <c r="S85" s="70" t="inlineStr"/>
    </row>
    <row r="86" ht="18" customHeight="1">
      <c r="A86" s="114" t="inlineStr">
        <is>
          <t>PO-2025-1085</t>
        </is>
      </c>
      <c r="B86" s="85" t="inlineStr">
        <is>
          <t>EVT-2025-031</t>
        </is>
      </c>
      <c r="C86" s="86" t="inlineStr">
        <is>
          <t>MedComm Agency</t>
        </is>
      </c>
      <c r="D86" s="86" t="inlineStr">
        <is>
          <t>Medical Communication</t>
        </is>
      </c>
      <c r="E86" s="89" t="n">
        <v>45827</v>
      </c>
      <c r="F86" s="89" t="n">
        <v>45833</v>
      </c>
      <c r="G86" s="90" t="n">
        <v>6</v>
      </c>
      <c r="H86" s="87" t="n">
        <v>48264.47</v>
      </c>
      <c r="I86" s="85" t="inlineStr">
        <is>
          <t>EUR</t>
        </is>
      </c>
      <c r="J86" s="85" t="inlineStr">
        <is>
          <t>CC-4066</t>
        </is>
      </c>
      <c r="K86" s="85" t="inlineStr">
        <is>
          <t>GL-6312</t>
        </is>
      </c>
      <c r="L86" s="69" t="inlineStr">
        <is>
          <t>Approved</t>
        </is>
      </c>
      <c r="M86" s="85" t="inlineStr">
        <is>
          <t>INV-01085</t>
        </is>
      </c>
      <c r="N86" s="96" t="inlineStr">
        <is>
          <t>Pending</t>
        </is>
      </c>
      <c r="O86" s="89" t="n">
        <v>45879</v>
      </c>
      <c r="P86" s="90" t="n">
        <v>0</v>
      </c>
      <c r="Q86" s="86" t="inlineStr">
        <is>
          <t>Carlos Navarro</t>
        </is>
      </c>
      <c r="R86" s="86" t="inlineStr">
        <is>
          <t>Sophie Müller</t>
        </is>
      </c>
      <c r="S86" s="86" t="inlineStr"/>
    </row>
    <row r="87" ht="18" customHeight="1">
      <c r="A87" s="115" t="inlineStr">
        <is>
          <t>PO-2025-1086</t>
        </is>
      </c>
      <c r="B87" s="71" t="inlineStr">
        <is>
          <t>EVT-2025-031</t>
        </is>
      </c>
      <c r="C87" s="70" t="inlineStr">
        <is>
          <t>InterCongress PCO</t>
        </is>
      </c>
      <c r="D87" s="70" t="inlineStr">
        <is>
          <t>PCO / Event Agency</t>
        </is>
      </c>
      <c r="E87" s="72" t="n">
        <v>45863</v>
      </c>
      <c r="F87" s="72" t="n">
        <v>45869</v>
      </c>
      <c r="G87" s="91" t="n">
        <v>6</v>
      </c>
      <c r="H87" s="73" t="n">
        <v>48747.35</v>
      </c>
      <c r="I87" s="71" t="inlineStr">
        <is>
          <t>EUR</t>
        </is>
      </c>
      <c r="J87" s="71" t="inlineStr">
        <is>
          <t>CC-5835</t>
        </is>
      </c>
      <c r="K87" s="71" t="inlineStr">
        <is>
          <t>GL-6315</t>
        </is>
      </c>
      <c r="L87" s="88" t="inlineStr">
        <is>
          <t>Sent to Supplier</t>
        </is>
      </c>
      <c r="M87" s="71" t="inlineStr">
        <is>
          <t>INV-01086</t>
        </is>
      </c>
      <c r="N87" s="88" t="inlineStr">
        <is>
          <t>Approved</t>
        </is>
      </c>
      <c r="O87" s="72" t="n">
        <v>45895</v>
      </c>
      <c r="P87" s="91" t="n">
        <v>0</v>
      </c>
      <c r="Q87" s="70" t="inlineStr">
        <is>
          <t>Lena Schneider</t>
        </is>
      </c>
      <c r="R87" s="70" t="inlineStr">
        <is>
          <t>Carlos Navarro</t>
        </is>
      </c>
      <c r="S87" s="70" t="inlineStr"/>
    </row>
    <row r="88" ht="18" customHeight="1">
      <c r="A88" s="114" t="inlineStr">
        <is>
          <t>PO-2025-1087</t>
        </is>
      </c>
      <c r="B88" s="85" t="inlineStr">
        <is>
          <t>EVT-2025-031</t>
        </is>
      </c>
      <c r="C88" s="86" t="inlineStr">
        <is>
          <t>Catering Excellence</t>
        </is>
      </c>
      <c r="D88" s="86" t="inlineStr">
        <is>
          <t>F&amp;B / Catering</t>
        </is>
      </c>
      <c r="E88" s="89" t="n">
        <v>45852</v>
      </c>
      <c r="F88" s="89" t="n">
        <v>45856</v>
      </c>
      <c r="G88" s="90" t="n">
        <v>4</v>
      </c>
      <c r="H88" s="87" t="n">
        <v>21930.52</v>
      </c>
      <c r="I88" s="85" t="inlineStr">
        <is>
          <t>EUR</t>
        </is>
      </c>
      <c r="J88" s="85" t="inlineStr">
        <is>
          <t>CC-5583</t>
        </is>
      </c>
      <c r="K88" s="85" t="inlineStr">
        <is>
          <t>GL-6315</t>
        </is>
      </c>
      <c r="L88" s="76" t="inlineStr">
        <is>
          <t>Pending Approval</t>
        </is>
      </c>
      <c r="M88" s="85" t="inlineStr"/>
      <c r="N88" s="69" t="inlineStr">
        <is>
          <t>Paid</t>
        </is>
      </c>
      <c r="O88" s="89" t="n">
        <v>45885</v>
      </c>
      <c r="P88" s="90" t="n">
        <v>0</v>
      </c>
      <c r="Q88" s="86" t="inlineStr">
        <is>
          <t>Emma Johansson</t>
        </is>
      </c>
      <c r="R88" s="86" t="inlineStr">
        <is>
          <t>James Wilson</t>
        </is>
      </c>
      <c r="S88" s="86" t="inlineStr"/>
    </row>
    <row r="89" ht="18" customHeight="1">
      <c r="A89" s="115" t="inlineStr">
        <is>
          <t>PO-2025-1088</t>
        </is>
      </c>
      <c r="B89" s="71" t="inlineStr">
        <is>
          <t>EVT-2025-032</t>
        </is>
      </c>
      <c r="C89" s="70" t="inlineStr">
        <is>
          <t>MedAudio AV Solutions</t>
        </is>
      </c>
      <c r="D89" s="70" t="inlineStr">
        <is>
          <t>AV &amp; Technology</t>
        </is>
      </c>
      <c r="E89" s="72" t="n">
        <v>45593</v>
      </c>
      <c r="F89" s="72" t="n">
        <v>45599</v>
      </c>
      <c r="G89" s="91" t="n">
        <v>6</v>
      </c>
      <c r="H89" s="73" t="n">
        <v>41020.46</v>
      </c>
      <c r="I89" s="71" t="inlineStr">
        <is>
          <t>EUR</t>
        </is>
      </c>
      <c r="J89" s="71" t="inlineStr">
        <is>
          <t>CC-9907</t>
        </is>
      </c>
      <c r="K89" s="71" t="inlineStr">
        <is>
          <t>GL-6330</t>
        </is>
      </c>
      <c r="L89" s="96" t="inlineStr">
        <is>
          <t>Draft</t>
        </is>
      </c>
      <c r="M89" s="71" t="inlineStr">
        <is>
          <t>INV-01088</t>
        </is>
      </c>
      <c r="N89" s="96" t="inlineStr">
        <is>
          <t>Pending</t>
        </is>
      </c>
      <c r="O89" s="72" t="n">
        <v>45664</v>
      </c>
      <c r="P89" s="91" t="n">
        <v>0</v>
      </c>
      <c r="Q89" s="70" t="inlineStr">
        <is>
          <t>Emma Johansson</t>
        </is>
      </c>
      <c r="R89" s="70" t="inlineStr">
        <is>
          <t>Thomas Dubois</t>
        </is>
      </c>
      <c r="S89" s="70" t="inlineStr"/>
    </row>
    <row r="90" ht="18" customHeight="1">
      <c r="A90" s="114" t="inlineStr">
        <is>
          <t>PO-2025-1089</t>
        </is>
      </c>
      <c r="B90" s="85" t="inlineStr">
        <is>
          <t>EVT-2025-032</t>
        </is>
      </c>
      <c r="C90" s="86" t="inlineStr">
        <is>
          <t>HealthMarketing Group</t>
        </is>
      </c>
      <c r="D90" s="86" t="inlineStr">
        <is>
          <t>Marketing Agency</t>
        </is>
      </c>
      <c r="E90" s="89" t="n">
        <v>45633</v>
      </c>
      <c r="F90" s="89" t="n">
        <v>45643</v>
      </c>
      <c r="G90" s="90" t="n">
        <v>10</v>
      </c>
      <c r="H90" s="87" t="n">
        <v>5299.58</v>
      </c>
      <c r="I90" s="85" t="inlineStr">
        <is>
          <t>EUR</t>
        </is>
      </c>
      <c r="J90" s="85" t="inlineStr">
        <is>
          <t>CC-9921</t>
        </is>
      </c>
      <c r="K90" s="85" t="inlineStr">
        <is>
          <t>GL-6330</t>
        </is>
      </c>
      <c r="L90" s="88" t="inlineStr">
        <is>
          <t>Sent to Supplier</t>
        </is>
      </c>
      <c r="M90" s="85" t="inlineStr">
        <is>
          <t>INV-01089</t>
        </is>
      </c>
      <c r="N90" s="96" t="inlineStr">
        <is>
          <t>Pending</t>
        </is>
      </c>
      <c r="O90" s="89" t="n">
        <v>45685</v>
      </c>
      <c r="P90" s="90" t="n">
        <v>0</v>
      </c>
      <c r="Q90" s="86" t="inlineStr">
        <is>
          <t>Lucas Dupont</t>
        </is>
      </c>
      <c r="R90" s="86" t="inlineStr">
        <is>
          <t>David O'Brien</t>
        </is>
      </c>
      <c r="S90" s="86" t="inlineStr"/>
    </row>
    <row r="91" ht="18" customHeight="1">
      <c r="A91" s="115" t="inlineStr">
        <is>
          <t>PO-2025-1090</t>
        </is>
      </c>
      <c r="B91" s="71" t="inlineStr">
        <is>
          <t>EVT-2025-032</t>
        </is>
      </c>
      <c r="C91" s="70" t="inlineStr">
        <is>
          <t>MedComm Agency</t>
        </is>
      </c>
      <c r="D91" s="70" t="inlineStr">
        <is>
          <t>Medical Communication</t>
        </is>
      </c>
      <c r="E91" s="72" t="n">
        <v>45611</v>
      </c>
      <c r="F91" s="72" t="n">
        <v>45619</v>
      </c>
      <c r="G91" s="91" t="n">
        <v>8</v>
      </c>
      <c r="H91" s="73" t="n">
        <v>35484.17</v>
      </c>
      <c r="I91" s="71" t="inlineStr">
        <is>
          <t>EUR</t>
        </is>
      </c>
      <c r="J91" s="71" t="inlineStr">
        <is>
          <t>CC-7363</t>
        </is>
      </c>
      <c r="K91" s="71" t="inlineStr">
        <is>
          <t>GL-6312</t>
        </is>
      </c>
      <c r="L91" s="76" t="inlineStr">
        <is>
          <t>Pending Approval</t>
        </is>
      </c>
      <c r="M91" s="71" t="inlineStr">
        <is>
          <t>INV-01090</t>
        </is>
      </c>
      <c r="N91" s="69" t="inlineStr">
        <is>
          <t>Paid</t>
        </is>
      </c>
      <c r="O91" s="72" t="n">
        <v>45673</v>
      </c>
      <c r="P91" s="91" t="n">
        <v>0</v>
      </c>
      <c r="Q91" s="70" t="inlineStr">
        <is>
          <t>Ana García</t>
        </is>
      </c>
      <c r="R91" s="70" t="inlineStr">
        <is>
          <t>Lucas Dupont</t>
        </is>
      </c>
      <c r="S91" s="70" t="inlineStr"/>
    </row>
    <row r="92" ht="18" customHeight="1">
      <c r="A92" s="114" t="inlineStr">
        <is>
          <t>PO-2025-1091</t>
        </is>
      </c>
      <c r="B92" s="85" t="inlineStr">
        <is>
          <t>EVT-2025-032</t>
        </is>
      </c>
      <c r="C92" s="86" t="inlineStr">
        <is>
          <t>PrintMed Solutions</t>
        </is>
      </c>
      <c r="D92" s="86" t="inlineStr">
        <is>
          <t>Print &amp; Production</t>
        </is>
      </c>
      <c r="E92" s="89" t="n">
        <v>45607</v>
      </c>
      <c r="F92" s="89" t="n">
        <v>45613</v>
      </c>
      <c r="G92" s="90" t="n">
        <v>6</v>
      </c>
      <c r="H92" s="87" t="n">
        <v>3626.81</v>
      </c>
      <c r="I92" s="85" t="inlineStr">
        <is>
          <t>EUR</t>
        </is>
      </c>
      <c r="J92" s="85" t="inlineStr">
        <is>
          <t>CC-1480</t>
        </is>
      </c>
      <c r="K92" s="85" t="inlineStr">
        <is>
          <t>GL-6330</t>
        </is>
      </c>
      <c r="L92" s="69" t="inlineStr">
        <is>
          <t>Approved</t>
        </is>
      </c>
      <c r="M92" s="85" t="inlineStr"/>
      <c r="N92" s="93" t="inlineStr">
        <is>
          <t>Overdue</t>
        </is>
      </c>
      <c r="O92" s="89" t="n">
        <v>45675</v>
      </c>
      <c r="P92" s="94" t="n">
        <v>522</v>
      </c>
      <c r="Q92" s="86" t="inlineStr">
        <is>
          <t>Ana García</t>
        </is>
      </c>
      <c r="R92" s="86" t="inlineStr">
        <is>
          <t>Carlos Navarro</t>
        </is>
      </c>
      <c r="S92" s="86" t="inlineStr"/>
    </row>
    <row r="93" ht="18" customHeight="1">
      <c r="A93" s="115" t="inlineStr">
        <is>
          <t>PO-2025-1092</t>
        </is>
      </c>
      <c r="B93" s="71" t="inlineStr">
        <is>
          <t>EVT-2025-033</t>
        </is>
      </c>
      <c r="C93" s="70" t="inlineStr">
        <is>
          <t>InterCongress PCO</t>
        </is>
      </c>
      <c r="D93" s="70" t="inlineStr">
        <is>
          <t>PCO / Event Agency</t>
        </is>
      </c>
      <c r="E93" s="72" t="n">
        <v>45908</v>
      </c>
      <c r="F93" s="72" t="n">
        <v>45916</v>
      </c>
      <c r="G93" s="91" t="n">
        <v>8</v>
      </c>
      <c r="H93" s="73" t="n">
        <v>47931.96</v>
      </c>
      <c r="I93" s="71" t="inlineStr">
        <is>
          <t>EUR</t>
        </is>
      </c>
      <c r="J93" s="71" t="inlineStr">
        <is>
          <t>CC-4813</t>
        </is>
      </c>
      <c r="K93" s="71" t="inlineStr">
        <is>
          <t>GL-6311</t>
        </is>
      </c>
      <c r="L93" s="96" t="inlineStr">
        <is>
          <t>Draft</t>
        </is>
      </c>
      <c r="M93" s="71" t="inlineStr"/>
      <c r="N93" s="96" t="inlineStr">
        <is>
          <t>Cancelled</t>
        </is>
      </c>
      <c r="O93" s="72" t="n">
        <v>45971</v>
      </c>
      <c r="P93" s="91" t="n">
        <v>0</v>
      </c>
      <c r="Q93" s="70" t="inlineStr">
        <is>
          <t>James Wilson</t>
        </is>
      </c>
      <c r="R93" s="70" t="inlineStr">
        <is>
          <t>Maria Kowalski</t>
        </is>
      </c>
      <c r="S93" s="70" t="inlineStr"/>
    </row>
    <row r="94" ht="18" customHeight="1">
      <c r="A94" s="114" t="inlineStr">
        <is>
          <t>PO-2025-1093</t>
        </is>
      </c>
      <c r="B94" s="85" t="inlineStr">
        <is>
          <t>EVT-2025-033</t>
        </is>
      </c>
      <c r="C94" s="86" t="inlineStr">
        <is>
          <t>MedComm Agency</t>
        </is>
      </c>
      <c r="D94" s="86" t="inlineStr">
        <is>
          <t>Medical Communication</t>
        </is>
      </c>
      <c r="E94" s="89" t="n">
        <v>45937</v>
      </c>
      <c r="F94" s="89" t="n">
        <v>45944</v>
      </c>
      <c r="G94" s="90" t="n">
        <v>7</v>
      </c>
      <c r="H94" s="87" t="n">
        <v>19282.62</v>
      </c>
      <c r="I94" s="85" t="inlineStr">
        <is>
          <t>EUR</t>
        </is>
      </c>
      <c r="J94" s="85" t="inlineStr">
        <is>
          <t>CC-9743</t>
        </is>
      </c>
      <c r="K94" s="85" t="inlineStr">
        <is>
          <t>GL-6330</t>
        </is>
      </c>
      <c r="L94" s="93" t="inlineStr">
        <is>
          <t>Cancelled</t>
        </is>
      </c>
      <c r="M94" s="85" t="inlineStr">
        <is>
          <t>INV-01093</t>
        </is>
      </c>
      <c r="N94" s="76" t="inlineStr">
        <is>
          <t>Disputed</t>
        </is>
      </c>
      <c r="O94" s="89" t="n">
        <v>45982</v>
      </c>
      <c r="P94" s="90" t="n">
        <v>0</v>
      </c>
      <c r="Q94" s="86" t="inlineStr">
        <is>
          <t>Ana García</t>
        </is>
      </c>
      <c r="R94" s="86" t="inlineStr">
        <is>
          <t>James Wilson</t>
        </is>
      </c>
      <c r="S94" s="86" t="inlineStr"/>
    </row>
    <row r="95" ht="18" customHeight="1">
      <c r="A95" s="115" t="inlineStr">
        <is>
          <t>PO-2025-1094</t>
        </is>
      </c>
      <c r="B95" s="71" t="inlineStr">
        <is>
          <t>EVT-2025-033</t>
        </is>
      </c>
      <c r="C95" s="70" t="inlineStr">
        <is>
          <t>HealthMarketing Group</t>
        </is>
      </c>
      <c r="D95" s="70" t="inlineStr">
        <is>
          <t>Marketing Agency</t>
        </is>
      </c>
      <c r="E95" s="72" t="n">
        <v>45910</v>
      </c>
      <c r="F95" s="72" t="n">
        <v>45919</v>
      </c>
      <c r="G95" s="91" t="n">
        <v>9</v>
      </c>
      <c r="H95" s="73" t="n">
        <v>17124.49</v>
      </c>
      <c r="I95" s="71" t="inlineStr">
        <is>
          <t>EUR</t>
        </is>
      </c>
      <c r="J95" s="71" t="inlineStr">
        <is>
          <t>CC-6813</t>
        </is>
      </c>
      <c r="K95" s="71" t="inlineStr">
        <is>
          <t>GL-6330</t>
        </is>
      </c>
      <c r="L95" s="76" t="inlineStr">
        <is>
          <t>Pending Approval</t>
        </is>
      </c>
      <c r="M95" s="71" t="inlineStr">
        <is>
          <t>INV-01094</t>
        </is>
      </c>
      <c r="N95" s="96" t="inlineStr">
        <is>
          <t>Cancelled</t>
        </is>
      </c>
      <c r="O95" s="72" t="n">
        <v>45976</v>
      </c>
      <c r="P95" s="91" t="n">
        <v>0</v>
      </c>
      <c r="Q95" s="70" t="inlineStr">
        <is>
          <t>Sophie Müller</t>
        </is>
      </c>
      <c r="R95" s="70" t="inlineStr">
        <is>
          <t>James Wilson</t>
        </is>
      </c>
      <c r="S95" s="70" t="inlineStr"/>
    </row>
    <row r="96" ht="18" customHeight="1">
      <c r="A96" s="114" t="inlineStr">
        <is>
          <t>PO-2025-1095</t>
        </is>
      </c>
      <c r="B96" s="85" t="inlineStr">
        <is>
          <t>EVT-2025-034</t>
        </is>
      </c>
      <c r="C96" s="86" t="inlineStr">
        <is>
          <t>Prime Hospitality Group</t>
        </is>
      </c>
      <c r="D96" s="86" t="inlineStr">
        <is>
          <t>Hotel &amp; Venue</t>
        </is>
      </c>
      <c r="E96" s="89" t="n">
        <v>45632</v>
      </c>
      <c r="F96" s="89" t="n">
        <v>45640</v>
      </c>
      <c r="G96" s="90" t="n">
        <v>8</v>
      </c>
      <c r="H96" s="87" t="n">
        <v>17387.2</v>
      </c>
      <c r="I96" s="85" t="inlineStr">
        <is>
          <t>EUR</t>
        </is>
      </c>
      <c r="J96" s="85" t="inlineStr">
        <is>
          <t>CC-6878</t>
        </is>
      </c>
      <c r="K96" s="85" t="inlineStr">
        <is>
          <t>GL-6320</t>
        </is>
      </c>
      <c r="L96" s="96" t="inlineStr">
        <is>
          <t>Draft</t>
        </is>
      </c>
      <c r="M96" s="85" t="inlineStr"/>
      <c r="N96" s="96" t="inlineStr">
        <is>
          <t>Cancelled</t>
        </is>
      </c>
      <c r="O96" s="89" t="n">
        <v>45699</v>
      </c>
      <c r="P96" s="90" t="n">
        <v>0</v>
      </c>
      <c r="Q96" s="86" t="inlineStr">
        <is>
          <t>Thomas Dubois</t>
        </is>
      </c>
      <c r="R96" s="86" t="inlineStr">
        <is>
          <t>Thomas Dubois</t>
        </is>
      </c>
      <c r="S96" s="86" t="inlineStr"/>
    </row>
    <row r="97" ht="18" customHeight="1">
      <c r="A97" s="115" t="inlineStr">
        <is>
          <t>PO-2025-1096</t>
        </is>
      </c>
      <c r="B97" s="71" t="inlineStr">
        <is>
          <t>EVT-2025-034</t>
        </is>
      </c>
      <c r="C97" s="70" t="inlineStr">
        <is>
          <t>InterCongress PCO</t>
        </is>
      </c>
      <c r="D97" s="70" t="inlineStr">
        <is>
          <t>PCO / Event Agency</t>
        </is>
      </c>
      <c r="E97" s="72" t="n">
        <v>45646</v>
      </c>
      <c r="F97" s="72" t="n">
        <v>45651</v>
      </c>
      <c r="G97" s="91" t="n">
        <v>5</v>
      </c>
      <c r="H97" s="73" t="n">
        <v>76200.78999999999</v>
      </c>
      <c r="I97" s="71" t="inlineStr">
        <is>
          <t>EUR</t>
        </is>
      </c>
      <c r="J97" s="71" t="inlineStr">
        <is>
          <t>CC-4084</t>
        </is>
      </c>
      <c r="K97" s="71" t="inlineStr">
        <is>
          <t>GL-6330</t>
        </is>
      </c>
      <c r="L97" s="88" t="inlineStr">
        <is>
          <t>Sent to Supplier</t>
        </is>
      </c>
      <c r="M97" s="71" t="inlineStr"/>
      <c r="N97" s="96" t="inlineStr">
        <is>
          <t>Cancelled</t>
        </is>
      </c>
      <c r="O97" s="72" t="n">
        <v>45698</v>
      </c>
      <c r="P97" s="91" t="n">
        <v>0</v>
      </c>
      <c r="Q97" s="70" t="inlineStr">
        <is>
          <t>Lena Schneider</t>
        </is>
      </c>
      <c r="R97" s="70" t="inlineStr">
        <is>
          <t>Isabel Ferreira</t>
        </is>
      </c>
      <c r="S97" s="70" t="inlineStr"/>
    </row>
    <row r="98" ht="18" customHeight="1">
      <c r="A98" s="114" t="inlineStr">
        <is>
          <t>PO-2025-1097</t>
        </is>
      </c>
      <c r="B98" s="85" t="inlineStr">
        <is>
          <t>EVT-2025-035</t>
        </is>
      </c>
      <c r="C98" s="86" t="inlineStr">
        <is>
          <t>Translingua Pro</t>
        </is>
      </c>
      <c r="D98" s="86" t="inlineStr">
        <is>
          <t>Translation &amp; Interpretation</t>
        </is>
      </c>
      <c r="E98" s="89" t="n">
        <v>45849</v>
      </c>
      <c r="F98" s="89" t="n">
        <v>45859</v>
      </c>
      <c r="G98" s="90" t="n">
        <v>10</v>
      </c>
      <c r="H98" s="87" t="n">
        <v>27210.24</v>
      </c>
      <c r="I98" s="85" t="inlineStr">
        <is>
          <t>EUR</t>
        </is>
      </c>
      <c r="J98" s="85" t="inlineStr">
        <is>
          <t>CC-1621</t>
        </is>
      </c>
      <c r="K98" s="85" t="inlineStr">
        <is>
          <t>GL-6310</t>
        </is>
      </c>
      <c r="L98" s="96" t="inlineStr">
        <is>
          <t>Draft</t>
        </is>
      </c>
      <c r="M98" s="85" t="inlineStr">
        <is>
          <t>INV-01097</t>
        </is>
      </c>
      <c r="N98" s="69" t="inlineStr">
        <is>
          <t>Paid</t>
        </is>
      </c>
      <c r="O98" s="89" t="n">
        <v>45890</v>
      </c>
      <c r="P98" s="90" t="n">
        <v>0</v>
      </c>
      <c r="Q98" s="86" t="inlineStr">
        <is>
          <t>James Wilson</t>
        </is>
      </c>
      <c r="R98" s="86" t="inlineStr">
        <is>
          <t>David O'Brien</t>
        </is>
      </c>
      <c r="S98" s="86" t="inlineStr"/>
    </row>
    <row r="99" ht="18" customHeight="1">
      <c r="A99" s="115" t="inlineStr">
        <is>
          <t>PO-2025-1098</t>
        </is>
      </c>
      <c r="B99" s="71" t="inlineStr">
        <is>
          <t>EVT-2025-035</t>
        </is>
      </c>
      <c r="C99" s="70" t="inlineStr">
        <is>
          <t>Compliance Expert Ltd</t>
        </is>
      </c>
      <c r="D99" s="70" t="inlineStr">
        <is>
          <t>Compliance &amp; Legal</t>
        </is>
      </c>
      <c r="E99" s="72" t="n">
        <v>45858</v>
      </c>
      <c r="F99" s="72" t="n">
        <v>45861</v>
      </c>
      <c r="G99" s="91" t="n">
        <v>3</v>
      </c>
      <c r="H99" s="73" t="n">
        <v>51248.04</v>
      </c>
      <c r="I99" s="71" t="inlineStr">
        <is>
          <t>EUR</t>
        </is>
      </c>
      <c r="J99" s="71" t="inlineStr">
        <is>
          <t>CC-9625</t>
        </is>
      </c>
      <c r="K99" s="71" t="inlineStr">
        <is>
          <t>GL-6315</t>
        </is>
      </c>
      <c r="L99" s="96" t="inlineStr">
        <is>
          <t>Draft</t>
        </is>
      </c>
      <c r="M99" s="71" t="inlineStr">
        <is>
          <t>INV-01098</t>
        </is>
      </c>
      <c r="N99" s="95" t="inlineStr">
        <is>
          <t>Invoiced</t>
        </is>
      </c>
      <c r="O99" s="72" t="n">
        <v>45902</v>
      </c>
      <c r="P99" s="91" t="n">
        <v>0</v>
      </c>
      <c r="Q99" s="70" t="inlineStr">
        <is>
          <t>Lucas Dupont</t>
        </is>
      </c>
      <c r="R99" s="70" t="inlineStr">
        <is>
          <t>David O'Brien</t>
        </is>
      </c>
      <c r="S99" s="70" t="inlineStr"/>
    </row>
    <row r="100" ht="18" customHeight="1">
      <c r="A100" s="114" t="inlineStr">
        <is>
          <t>PO-2025-1099</t>
        </is>
      </c>
      <c r="B100" s="85" t="inlineStr">
        <is>
          <t>EVT-2025-035</t>
        </is>
      </c>
      <c r="C100" s="86" t="inlineStr">
        <is>
          <t>DigitalPharma Studio</t>
        </is>
      </c>
      <c r="D100" s="86" t="inlineStr">
        <is>
          <t>Digital &amp; Web</t>
        </is>
      </c>
      <c r="E100" s="89" t="n">
        <v>45867</v>
      </c>
      <c r="F100" s="89" t="n">
        <v>45872</v>
      </c>
      <c r="G100" s="90" t="n">
        <v>5</v>
      </c>
      <c r="H100" s="87" t="n">
        <v>38015.91</v>
      </c>
      <c r="I100" s="85" t="inlineStr">
        <is>
          <t>EUR</t>
        </is>
      </c>
      <c r="J100" s="85" t="inlineStr">
        <is>
          <t>CC-6582</t>
        </is>
      </c>
      <c r="K100" s="85" t="inlineStr">
        <is>
          <t>GL-6325</t>
        </is>
      </c>
      <c r="L100" s="76" t="inlineStr">
        <is>
          <t>Pending Approval</t>
        </is>
      </c>
      <c r="M100" s="85" t="inlineStr"/>
      <c r="N100" s="96" t="inlineStr">
        <is>
          <t>Cancelled</t>
        </is>
      </c>
      <c r="O100" s="89" t="n">
        <v>45909</v>
      </c>
      <c r="P100" s="90" t="n">
        <v>0</v>
      </c>
      <c r="Q100" s="86" t="inlineStr">
        <is>
          <t>Lucas Dupont</t>
        </is>
      </c>
      <c r="R100" s="86" t="inlineStr">
        <is>
          <t>Ana García</t>
        </is>
      </c>
      <c r="S100" s="86" t="inlineStr"/>
    </row>
    <row r="101" ht="18" customHeight="1">
      <c r="A101" s="115" t="inlineStr">
        <is>
          <t>PO-2025-1100</t>
        </is>
      </c>
      <c r="B101" s="71" t="inlineStr">
        <is>
          <t>EVT-2025-035</t>
        </is>
      </c>
      <c r="C101" s="70" t="inlineStr">
        <is>
          <t>TechEvent Systems</t>
        </is>
      </c>
      <c r="D101" s="70" t="inlineStr">
        <is>
          <t>Registration &amp; Tech</t>
        </is>
      </c>
      <c r="E101" s="72" t="n">
        <v>45877</v>
      </c>
      <c r="F101" s="72" t="n">
        <v>45882</v>
      </c>
      <c r="G101" s="91" t="n">
        <v>5</v>
      </c>
      <c r="H101" s="73" t="n">
        <v>69411.5</v>
      </c>
      <c r="I101" s="71" t="inlineStr">
        <is>
          <t>EUR</t>
        </is>
      </c>
      <c r="J101" s="71" t="inlineStr">
        <is>
          <t>CC-3320</t>
        </is>
      </c>
      <c r="K101" s="71" t="inlineStr">
        <is>
          <t>GL-6330</t>
        </is>
      </c>
      <c r="L101" s="96" t="inlineStr">
        <is>
          <t>Draft</t>
        </is>
      </c>
      <c r="M101" s="71" t="inlineStr"/>
      <c r="N101" s="93" t="inlineStr">
        <is>
          <t>Overdue</t>
        </is>
      </c>
      <c r="O101" s="72" t="n">
        <v>45908</v>
      </c>
      <c r="P101" s="94" t="n">
        <v>289</v>
      </c>
      <c r="Q101" s="70" t="inlineStr">
        <is>
          <t>Lena Schneider</t>
        </is>
      </c>
      <c r="R101" s="70" t="inlineStr">
        <is>
          <t>Lucas Dupont</t>
        </is>
      </c>
      <c r="S101" s="70" t="inlineStr"/>
    </row>
    <row r="102" ht="18" customHeight="1">
      <c r="A102" s="114" t="inlineStr">
        <is>
          <t>PO-2025-1101</t>
        </is>
      </c>
      <c r="B102" s="85" t="inlineStr">
        <is>
          <t>EVT-2025-035</t>
        </is>
      </c>
      <c r="C102" s="86" t="inlineStr">
        <is>
          <t>KOL Connect</t>
        </is>
      </c>
      <c r="D102" s="86" t="inlineStr">
        <is>
          <t>Speaker Management</t>
        </is>
      </c>
      <c r="E102" s="89" t="n">
        <v>45853</v>
      </c>
      <c r="F102" s="89" t="n">
        <v>45861</v>
      </c>
      <c r="G102" s="90" t="n">
        <v>8</v>
      </c>
      <c r="H102" s="87" t="n">
        <v>45236.68</v>
      </c>
      <c r="I102" s="85" t="inlineStr">
        <is>
          <t>EUR</t>
        </is>
      </c>
      <c r="J102" s="85" t="inlineStr">
        <is>
          <t>CC-7481</t>
        </is>
      </c>
      <c r="K102" s="85" t="inlineStr">
        <is>
          <t>GL-6320</t>
        </is>
      </c>
      <c r="L102" s="96" t="inlineStr">
        <is>
          <t>Draft</t>
        </is>
      </c>
      <c r="M102" s="85" t="inlineStr">
        <is>
          <t>INV-01101</t>
        </is>
      </c>
      <c r="N102" s="69" t="inlineStr">
        <is>
          <t>Paid</t>
        </is>
      </c>
      <c r="O102" s="89" t="n">
        <v>45887</v>
      </c>
      <c r="P102" s="90" t="n">
        <v>0</v>
      </c>
      <c r="Q102" s="86" t="inlineStr">
        <is>
          <t>Lucas Dupont</t>
        </is>
      </c>
      <c r="R102" s="86" t="inlineStr">
        <is>
          <t>Isabel Ferreira</t>
        </is>
      </c>
      <c r="S102" s="86" t="inlineStr"/>
    </row>
    <row r="103" ht="18" customHeight="1">
      <c r="A103" s="115" t="inlineStr">
        <is>
          <t>PO-2025-1102</t>
        </is>
      </c>
      <c r="B103" s="71" t="inlineStr">
        <is>
          <t>EVT-2025-036</t>
        </is>
      </c>
      <c r="C103" s="70" t="inlineStr">
        <is>
          <t>Compliance Expert Ltd</t>
        </is>
      </c>
      <c r="D103" s="70" t="inlineStr">
        <is>
          <t>Compliance &amp; Legal</t>
        </is>
      </c>
      <c r="E103" s="72" t="n">
        <v>45811</v>
      </c>
      <c r="F103" s="72" t="n">
        <v>45816</v>
      </c>
      <c r="G103" s="91" t="n">
        <v>5</v>
      </c>
      <c r="H103" s="73" t="n">
        <v>76702.34</v>
      </c>
      <c r="I103" s="71" t="inlineStr">
        <is>
          <t>EUR</t>
        </is>
      </c>
      <c r="J103" s="71" t="inlineStr">
        <is>
          <t>CC-3580</t>
        </is>
      </c>
      <c r="K103" s="71" t="inlineStr">
        <is>
          <t>GL-6325</t>
        </is>
      </c>
      <c r="L103" s="88" t="inlineStr">
        <is>
          <t>Sent to Supplier</t>
        </is>
      </c>
      <c r="M103" s="71" t="inlineStr">
        <is>
          <t>INV-01102</t>
        </is>
      </c>
      <c r="N103" s="96" t="inlineStr">
        <is>
          <t>Cancelled</t>
        </is>
      </c>
      <c r="O103" s="72" t="n">
        <v>45861</v>
      </c>
      <c r="P103" s="91" t="n">
        <v>0</v>
      </c>
      <c r="Q103" s="70" t="inlineStr">
        <is>
          <t>Maria Kowalski</t>
        </is>
      </c>
      <c r="R103" s="70" t="inlineStr">
        <is>
          <t>Carlos Navarro</t>
        </is>
      </c>
      <c r="S103" s="70" t="inlineStr"/>
    </row>
    <row r="104" ht="18" customHeight="1">
      <c r="A104" s="114" t="inlineStr">
        <is>
          <t>PO-2025-1103</t>
        </is>
      </c>
      <c r="B104" s="85" t="inlineStr">
        <is>
          <t>EVT-2025-036</t>
        </is>
      </c>
      <c r="C104" s="86" t="inlineStr">
        <is>
          <t>Prime Hospitality Group</t>
        </is>
      </c>
      <c r="D104" s="86" t="inlineStr">
        <is>
          <t>Hotel &amp; Venue</t>
        </is>
      </c>
      <c r="E104" s="89" t="n">
        <v>45784</v>
      </c>
      <c r="F104" s="89" t="n">
        <v>45792</v>
      </c>
      <c r="G104" s="90" t="n">
        <v>8</v>
      </c>
      <c r="H104" s="87" t="n">
        <v>8577.67</v>
      </c>
      <c r="I104" s="85" t="inlineStr">
        <is>
          <t>EUR</t>
        </is>
      </c>
      <c r="J104" s="85" t="inlineStr">
        <is>
          <t>CC-3854</t>
        </is>
      </c>
      <c r="K104" s="85" t="inlineStr">
        <is>
          <t>GL-6325</t>
        </is>
      </c>
      <c r="L104" s="116" t="inlineStr">
        <is>
          <t>Closed</t>
        </is>
      </c>
      <c r="M104" s="85" t="inlineStr">
        <is>
          <t>INV-01103</t>
        </is>
      </c>
      <c r="N104" s="88" t="inlineStr">
        <is>
          <t>Approved</t>
        </is>
      </c>
      <c r="O104" s="89" t="n">
        <v>45855</v>
      </c>
      <c r="P104" s="90" t="n">
        <v>0</v>
      </c>
      <c r="Q104" s="86" t="inlineStr">
        <is>
          <t>Thomas Dubois</t>
        </is>
      </c>
      <c r="R104" s="86" t="inlineStr">
        <is>
          <t>David O'Brien</t>
        </is>
      </c>
      <c r="S104" s="86" t="inlineStr"/>
    </row>
    <row r="105" ht="18" customHeight="1">
      <c r="A105" s="115" t="inlineStr">
        <is>
          <t>PO-2025-1104</t>
        </is>
      </c>
      <c r="B105" s="71" t="inlineStr">
        <is>
          <t>EVT-2025-036</t>
        </is>
      </c>
      <c r="C105" s="70" t="inlineStr">
        <is>
          <t>PharmaLogix</t>
        </is>
      </c>
      <c r="D105" s="70" t="inlineStr">
        <is>
          <t>Logistics &amp; Transport</t>
        </is>
      </c>
      <c r="E105" s="72" t="n">
        <v>45779</v>
      </c>
      <c r="F105" s="72" t="n">
        <v>45787</v>
      </c>
      <c r="G105" s="91" t="n">
        <v>8</v>
      </c>
      <c r="H105" s="73" t="n">
        <v>36274.9</v>
      </c>
      <c r="I105" s="71" t="inlineStr">
        <is>
          <t>EUR</t>
        </is>
      </c>
      <c r="J105" s="71" t="inlineStr">
        <is>
          <t>CC-4657</t>
        </is>
      </c>
      <c r="K105" s="71" t="inlineStr">
        <is>
          <t>GL-6325</t>
        </is>
      </c>
      <c r="L105" s="116" t="inlineStr">
        <is>
          <t>Closed</t>
        </is>
      </c>
      <c r="M105" s="71" t="inlineStr">
        <is>
          <t>INV-01104</t>
        </is>
      </c>
      <c r="N105" s="95" t="inlineStr">
        <is>
          <t>Invoiced</t>
        </is>
      </c>
      <c r="O105" s="72" t="n">
        <v>45859</v>
      </c>
      <c r="P105" s="91" t="n">
        <v>0</v>
      </c>
      <c r="Q105" s="70" t="inlineStr">
        <is>
          <t>Sophie Müller</t>
        </is>
      </c>
      <c r="R105" s="70" t="inlineStr">
        <is>
          <t>Emma Johansson</t>
        </is>
      </c>
      <c r="S105" s="70" t="inlineStr"/>
    </row>
    <row r="106" ht="18" customHeight="1">
      <c r="A106" s="114" t="inlineStr">
        <is>
          <t>PO-2025-1105</t>
        </is>
      </c>
      <c r="B106" s="85" t="inlineStr">
        <is>
          <t>EVT-2025-036</t>
        </is>
      </c>
      <c r="C106" s="86" t="inlineStr">
        <is>
          <t>DigitalPharma Studio</t>
        </is>
      </c>
      <c r="D106" s="86" t="inlineStr">
        <is>
          <t>Digital &amp; Web</t>
        </is>
      </c>
      <c r="E106" s="89" t="n">
        <v>45816</v>
      </c>
      <c r="F106" s="89" t="n">
        <v>45823</v>
      </c>
      <c r="G106" s="90" t="n">
        <v>7</v>
      </c>
      <c r="H106" s="87" t="n">
        <v>32218.49</v>
      </c>
      <c r="I106" s="85" t="inlineStr">
        <is>
          <t>EUR</t>
        </is>
      </c>
      <c r="J106" s="85" t="inlineStr">
        <is>
          <t>CC-3086</t>
        </is>
      </c>
      <c r="K106" s="85" t="inlineStr">
        <is>
          <t>GL-6311</t>
        </is>
      </c>
      <c r="L106" s="93" t="inlineStr">
        <is>
          <t>Cancelled</t>
        </is>
      </c>
      <c r="M106" s="85" t="inlineStr">
        <is>
          <t>INV-01105</t>
        </is>
      </c>
      <c r="N106" s="96" t="inlineStr">
        <is>
          <t>Pending</t>
        </is>
      </c>
      <c r="O106" s="89" t="n">
        <v>45865</v>
      </c>
      <c r="P106" s="90" t="n">
        <v>0</v>
      </c>
      <c r="Q106" s="86" t="inlineStr">
        <is>
          <t>Ana García</t>
        </is>
      </c>
      <c r="R106" s="86" t="inlineStr">
        <is>
          <t>Thomas Dubois</t>
        </is>
      </c>
      <c r="S106" s="86" t="inlineStr"/>
    </row>
    <row r="107" ht="18" customHeight="1">
      <c r="A107" s="115" t="inlineStr">
        <is>
          <t>PO-2025-1106</t>
        </is>
      </c>
      <c r="B107" s="71" t="inlineStr">
        <is>
          <t>EVT-2025-036</t>
        </is>
      </c>
      <c r="C107" s="70" t="inlineStr">
        <is>
          <t>Translingua Pro</t>
        </is>
      </c>
      <c r="D107" s="70" t="inlineStr">
        <is>
          <t>Translation &amp; Interpretation</t>
        </is>
      </c>
      <c r="E107" s="72" t="n">
        <v>45775</v>
      </c>
      <c r="F107" s="72" t="n">
        <v>45784</v>
      </c>
      <c r="G107" s="91" t="n">
        <v>9</v>
      </c>
      <c r="H107" s="73" t="n">
        <v>28102.65</v>
      </c>
      <c r="I107" s="71" t="inlineStr">
        <is>
          <t>EUR</t>
        </is>
      </c>
      <c r="J107" s="71" t="inlineStr">
        <is>
          <t>CC-1530</t>
        </is>
      </c>
      <c r="K107" s="71" t="inlineStr">
        <is>
          <t>GL-6311</t>
        </is>
      </c>
      <c r="L107" s="116" t="inlineStr">
        <is>
          <t>Closed</t>
        </is>
      </c>
      <c r="M107" s="71" t="inlineStr">
        <is>
          <t>INV-01106</t>
        </is>
      </c>
      <c r="N107" s="76" t="inlineStr">
        <is>
          <t>Disputed</t>
        </is>
      </c>
      <c r="O107" s="72" t="n">
        <v>45865</v>
      </c>
      <c r="P107" s="91" t="n">
        <v>0</v>
      </c>
      <c r="Q107" s="70" t="inlineStr">
        <is>
          <t>Lucas Dupont</t>
        </is>
      </c>
      <c r="R107" s="70" t="inlineStr">
        <is>
          <t>David O'Brien</t>
        </is>
      </c>
      <c r="S107" s="70" t="inlineStr"/>
    </row>
    <row r="108" ht="18" customHeight="1">
      <c r="A108" s="114" t="inlineStr">
        <is>
          <t>PO-2025-1107</t>
        </is>
      </c>
      <c r="B108" s="85" t="inlineStr">
        <is>
          <t>EVT-2025-037</t>
        </is>
      </c>
      <c r="C108" s="86" t="inlineStr">
        <is>
          <t>Catering Excellence</t>
        </is>
      </c>
      <c r="D108" s="86" t="inlineStr">
        <is>
          <t>F&amp;B / Catering</t>
        </is>
      </c>
      <c r="E108" s="89" t="n">
        <v>45738</v>
      </c>
      <c r="F108" s="89" t="n">
        <v>45742</v>
      </c>
      <c r="G108" s="90" t="n">
        <v>4</v>
      </c>
      <c r="H108" s="87" t="n">
        <v>49010.66</v>
      </c>
      <c r="I108" s="85" t="inlineStr">
        <is>
          <t>EUR</t>
        </is>
      </c>
      <c r="J108" s="85" t="inlineStr">
        <is>
          <t>CC-9129</t>
        </is>
      </c>
      <c r="K108" s="85" t="inlineStr">
        <is>
          <t>GL-6311</t>
        </is>
      </c>
      <c r="L108" s="69" t="inlineStr">
        <is>
          <t>Approved</t>
        </is>
      </c>
      <c r="M108" s="85" t="inlineStr">
        <is>
          <t>INV-01107</t>
        </is>
      </c>
      <c r="N108" s="93" t="inlineStr">
        <is>
          <t>Overdue</t>
        </is>
      </c>
      <c r="O108" s="89" t="n">
        <v>45782</v>
      </c>
      <c r="P108" s="94" t="n">
        <v>415</v>
      </c>
      <c r="Q108" s="86" t="inlineStr">
        <is>
          <t>Thomas Dubois</t>
        </is>
      </c>
      <c r="R108" s="86" t="inlineStr">
        <is>
          <t>Marco Bianchi</t>
        </is>
      </c>
      <c r="S108" s="86" t="inlineStr"/>
    </row>
    <row r="109" ht="18" customHeight="1">
      <c r="A109" s="115" t="inlineStr">
        <is>
          <t>PO-2025-1108</t>
        </is>
      </c>
      <c r="B109" s="71" t="inlineStr">
        <is>
          <t>EVT-2025-037</t>
        </is>
      </c>
      <c r="C109" s="70" t="inlineStr">
        <is>
          <t>KOL Connect</t>
        </is>
      </c>
      <c r="D109" s="70" t="inlineStr">
        <is>
          <t>Speaker Management</t>
        </is>
      </c>
      <c r="E109" s="72" t="n">
        <v>45721</v>
      </c>
      <c r="F109" s="72" t="n">
        <v>45729</v>
      </c>
      <c r="G109" s="91" t="n">
        <v>8</v>
      </c>
      <c r="H109" s="73" t="n">
        <v>29286.02</v>
      </c>
      <c r="I109" s="71" t="inlineStr">
        <is>
          <t>EUR</t>
        </is>
      </c>
      <c r="J109" s="71" t="inlineStr">
        <is>
          <t>CC-6234</t>
        </is>
      </c>
      <c r="K109" s="71" t="inlineStr">
        <is>
          <t>GL-6311</t>
        </is>
      </c>
      <c r="L109" s="93" t="inlineStr">
        <is>
          <t>Cancelled</t>
        </is>
      </c>
      <c r="M109" s="71" t="inlineStr"/>
      <c r="N109" s="69" t="inlineStr">
        <is>
          <t>Paid</t>
        </is>
      </c>
      <c r="O109" s="72" t="n">
        <v>45766</v>
      </c>
      <c r="P109" s="91" t="n">
        <v>0</v>
      </c>
      <c r="Q109" s="70" t="inlineStr">
        <is>
          <t>Marco Bianchi</t>
        </is>
      </c>
      <c r="R109" s="70" t="inlineStr">
        <is>
          <t>Thomas Dubois</t>
        </is>
      </c>
      <c r="S109" s="70" t="inlineStr"/>
    </row>
    <row r="110" ht="18" customHeight="1">
      <c r="A110" s="114" t="inlineStr">
        <is>
          <t>PO-2025-1109</t>
        </is>
      </c>
      <c r="B110" s="85" t="inlineStr">
        <is>
          <t>EVT-2025-037</t>
        </is>
      </c>
      <c r="C110" s="86" t="inlineStr">
        <is>
          <t>Compliance Expert Ltd</t>
        </is>
      </c>
      <c r="D110" s="86" t="inlineStr">
        <is>
          <t>Compliance &amp; Legal</t>
        </is>
      </c>
      <c r="E110" s="89" t="n">
        <v>45705</v>
      </c>
      <c r="F110" s="89" t="n">
        <v>45713</v>
      </c>
      <c r="G110" s="90" t="n">
        <v>8</v>
      </c>
      <c r="H110" s="87" t="n">
        <v>75164.17</v>
      </c>
      <c r="I110" s="85" t="inlineStr">
        <is>
          <t>EUR</t>
        </is>
      </c>
      <c r="J110" s="85" t="inlineStr">
        <is>
          <t>CC-8317</t>
        </is>
      </c>
      <c r="K110" s="85" t="inlineStr">
        <is>
          <t>GL-6310</t>
        </is>
      </c>
      <c r="L110" s="69" t="inlineStr">
        <is>
          <t>Approved</t>
        </is>
      </c>
      <c r="M110" s="85" t="inlineStr">
        <is>
          <t>INV-01109</t>
        </is>
      </c>
      <c r="N110" s="76" t="inlineStr">
        <is>
          <t>Disputed</t>
        </is>
      </c>
      <c r="O110" s="89" t="n">
        <v>45777</v>
      </c>
      <c r="P110" s="90" t="n">
        <v>0</v>
      </c>
      <c r="Q110" s="86" t="inlineStr">
        <is>
          <t>James Wilson</t>
        </is>
      </c>
      <c r="R110" s="86" t="inlineStr">
        <is>
          <t>James Wilson</t>
        </is>
      </c>
      <c r="S110" s="86" t="inlineStr"/>
    </row>
    <row r="111" ht="18" customHeight="1">
      <c r="A111" s="115" t="inlineStr">
        <is>
          <t>PO-2025-1110</t>
        </is>
      </c>
      <c r="B111" s="71" t="inlineStr">
        <is>
          <t>EVT-2025-038</t>
        </is>
      </c>
      <c r="C111" s="70" t="inlineStr">
        <is>
          <t>TechEvent Systems</t>
        </is>
      </c>
      <c r="D111" s="70" t="inlineStr">
        <is>
          <t>Registration &amp; Tech</t>
        </is>
      </c>
      <c r="E111" s="72" t="n">
        <v>45731</v>
      </c>
      <c r="F111" s="72" t="n">
        <v>45735</v>
      </c>
      <c r="G111" s="91" t="n">
        <v>4</v>
      </c>
      <c r="H111" s="73" t="n">
        <v>75874.47</v>
      </c>
      <c r="I111" s="71" t="inlineStr">
        <is>
          <t>EUR</t>
        </is>
      </c>
      <c r="J111" s="71" t="inlineStr">
        <is>
          <t>CC-6742</t>
        </is>
      </c>
      <c r="K111" s="71" t="inlineStr">
        <is>
          <t>GL-6312</t>
        </is>
      </c>
      <c r="L111" s="96" t="inlineStr">
        <is>
          <t>Draft</t>
        </is>
      </c>
      <c r="M111" s="71" t="inlineStr">
        <is>
          <t>INV-01110</t>
        </is>
      </c>
      <c r="N111" s="96" t="inlineStr">
        <is>
          <t>Pending</t>
        </is>
      </c>
      <c r="O111" s="72" t="n">
        <v>45805</v>
      </c>
      <c r="P111" s="91" t="n">
        <v>0</v>
      </c>
      <c r="Q111" s="70" t="inlineStr">
        <is>
          <t>Thomas Dubois</t>
        </is>
      </c>
      <c r="R111" s="70" t="inlineStr">
        <is>
          <t>Ana García</t>
        </is>
      </c>
      <c r="S111" s="70" t="inlineStr"/>
    </row>
    <row r="112" ht="18" customHeight="1">
      <c r="A112" s="114" t="inlineStr">
        <is>
          <t>PO-2025-1111</t>
        </is>
      </c>
      <c r="B112" s="85" t="inlineStr">
        <is>
          <t>EVT-2025-038</t>
        </is>
      </c>
      <c r="C112" s="86" t="inlineStr">
        <is>
          <t>MedAudio AV Solutions</t>
        </is>
      </c>
      <c r="D112" s="86" t="inlineStr">
        <is>
          <t>AV &amp; Technology</t>
        </is>
      </c>
      <c r="E112" s="89" t="n">
        <v>45793</v>
      </c>
      <c r="F112" s="89" t="n">
        <v>45802</v>
      </c>
      <c r="G112" s="90" t="n">
        <v>9</v>
      </c>
      <c r="H112" s="87" t="n">
        <v>41662.1</v>
      </c>
      <c r="I112" s="85" t="inlineStr">
        <is>
          <t>EUR</t>
        </is>
      </c>
      <c r="J112" s="85" t="inlineStr">
        <is>
          <t>CC-8179</t>
        </is>
      </c>
      <c r="K112" s="85" t="inlineStr">
        <is>
          <t>GL-6325</t>
        </is>
      </c>
      <c r="L112" s="88" t="inlineStr">
        <is>
          <t>Sent to Supplier</t>
        </is>
      </c>
      <c r="M112" s="85" t="inlineStr">
        <is>
          <t>INV-01111</t>
        </is>
      </c>
      <c r="N112" s="88" t="inlineStr">
        <is>
          <t>Approved</t>
        </is>
      </c>
      <c r="O112" s="89" t="n">
        <v>45826</v>
      </c>
      <c r="P112" s="90" t="n">
        <v>0</v>
      </c>
      <c r="Q112" s="86" t="inlineStr">
        <is>
          <t>Sophie Müller</t>
        </is>
      </c>
      <c r="R112" s="86" t="inlineStr">
        <is>
          <t>Emma Johansson</t>
        </is>
      </c>
      <c r="S112" s="86" t="inlineStr"/>
    </row>
    <row r="113" ht="18" customHeight="1">
      <c r="A113" s="115" t="inlineStr">
        <is>
          <t>PO-2025-1112</t>
        </is>
      </c>
      <c r="B113" s="71" t="inlineStr">
        <is>
          <t>EVT-2025-038</t>
        </is>
      </c>
      <c r="C113" s="70" t="inlineStr">
        <is>
          <t>Compliance Expert Ltd</t>
        </is>
      </c>
      <c r="D113" s="70" t="inlineStr">
        <is>
          <t>Compliance &amp; Legal</t>
        </is>
      </c>
      <c r="E113" s="72" t="n">
        <v>45759</v>
      </c>
      <c r="F113" s="72" t="n">
        <v>45768</v>
      </c>
      <c r="G113" s="91" t="n">
        <v>9</v>
      </c>
      <c r="H113" s="73" t="n">
        <v>61760.18</v>
      </c>
      <c r="I113" s="71" t="inlineStr">
        <is>
          <t>EUR</t>
        </is>
      </c>
      <c r="J113" s="71" t="inlineStr">
        <is>
          <t>CC-6754</t>
        </is>
      </c>
      <c r="K113" s="71" t="inlineStr">
        <is>
          <t>GL-6320</t>
        </is>
      </c>
      <c r="L113" s="88" t="inlineStr">
        <is>
          <t>Sent to Supplier</t>
        </is>
      </c>
      <c r="M113" s="71" t="inlineStr">
        <is>
          <t>INV-01112</t>
        </is>
      </c>
      <c r="N113" s="88" t="inlineStr">
        <is>
          <t>Approved</t>
        </is>
      </c>
      <c r="O113" s="72" t="n">
        <v>45820</v>
      </c>
      <c r="P113" s="91" t="n">
        <v>0</v>
      </c>
      <c r="Q113" s="70" t="inlineStr">
        <is>
          <t>Marco Bianchi</t>
        </is>
      </c>
      <c r="R113" s="70" t="inlineStr">
        <is>
          <t>Carlos Navarro</t>
        </is>
      </c>
      <c r="S113" s="70" t="inlineStr"/>
    </row>
    <row r="114" ht="18" customHeight="1">
      <c r="A114" s="114" t="inlineStr">
        <is>
          <t>PO-2025-1113</t>
        </is>
      </c>
      <c r="B114" s="85" t="inlineStr">
        <is>
          <t>EVT-2025-039</t>
        </is>
      </c>
      <c r="C114" s="86" t="inlineStr">
        <is>
          <t>Catering Excellence</t>
        </is>
      </c>
      <c r="D114" s="86" t="inlineStr">
        <is>
          <t>F&amp;B / Catering</t>
        </is>
      </c>
      <c r="E114" s="89" t="n">
        <v>45695</v>
      </c>
      <c r="F114" s="89" t="n">
        <v>45701</v>
      </c>
      <c r="G114" s="90" t="n">
        <v>6</v>
      </c>
      <c r="H114" s="87" t="n">
        <v>9888.98</v>
      </c>
      <c r="I114" s="85" t="inlineStr">
        <is>
          <t>EUR</t>
        </is>
      </c>
      <c r="J114" s="85" t="inlineStr">
        <is>
          <t>CC-3664</t>
        </is>
      </c>
      <c r="K114" s="85" t="inlineStr">
        <is>
          <t>GL-6315</t>
        </is>
      </c>
      <c r="L114" s="96" t="inlineStr">
        <is>
          <t>Draft</t>
        </is>
      </c>
      <c r="M114" s="85" t="inlineStr">
        <is>
          <t>INV-01113</t>
        </is>
      </c>
      <c r="N114" s="93" t="inlineStr">
        <is>
          <t>Overdue</t>
        </is>
      </c>
      <c r="O114" s="89" t="n">
        <v>45775</v>
      </c>
      <c r="P114" s="94" t="n">
        <v>422</v>
      </c>
      <c r="Q114" s="86" t="inlineStr">
        <is>
          <t>Ana García</t>
        </is>
      </c>
      <c r="R114" s="86" t="inlineStr">
        <is>
          <t>Isabel Ferreira</t>
        </is>
      </c>
      <c r="S114" s="86" t="inlineStr"/>
    </row>
    <row r="115" ht="18" customHeight="1">
      <c r="A115" s="115" t="inlineStr">
        <is>
          <t>PO-2025-1114</t>
        </is>
      </c>
      <c r="B115" s="71" t="inlineStr">
        <is>
          <t>EVT-2025-040</t>
        </is>
      </c>
      <c r="C115" s="70" t="inlineStr">
        <is>
          <t>HealthMarketing Group</t>
        </is>
      </c>
      <c r="D115" s="70" t="inlineStr">
        <is>
          <t>Marketing Agency</t>
        </is>
      </c>
      <c r="E115" s="72" t="n">
        <v>45976</v>
      </c>
      <c r="F115" s="72" t="n">
        <v>45984</v>
      </c>
      <c r="G115" s="91" t="n">
        <v>8</v>
      </c>
      <c r="H115" s="73" t="n">
        <v>31384.15</v>
      </c>
      <c r="I115" s="71" t="inlineStr">
        <is>
          <t>EUR</t>
        </is>
      </c>
      <c r="J115" s="71" t="inlineStr">
        <is>
          <t>CC-5278</t>
        </is>
      </c>
      <c r="K115" s="71" t="inlineStr">
        <is>
          <t>GL-6310</t>
        </is>
      </c>
      <c r="L115" s="96" t="inlineStr">
        <is>
          <t>Draft</t>
        </is>
      </c>
      <c r="M115" s="71" t="inlineStr"/>
      <c r="N115" s="76" t="inlineStr">
        <is>
          <t>Disputed</t>
        </is>
      </c>
      <c r="O115" s="72" t="n">
        <v>46007</v>
      </c>
      <c r="P115" s="91" t="n">
        <v>0</v>
      </c>
      <c r="Q115" s="70" t="inlineStr">
        <is>
          <t>Lucas Dupont</t>
        </is>
      </c>
      <c r="R115" s="70" t="inlineStr">
        <is>
          <t>Sophie Müller</t>
        </is>
      </c>
      <c r="S115" s="70" t="inlineStr"/>
    </row>
    <row r="116" ht="18" customHeight="1">
      <c r="A116" s="114" t="inlineStr">
        <is>
          <t>PO-2025-1115</t>
        </is>
      </c>
      <c r="B116" s="85" t="inlineStr">
        <is>
          <t>EVT-2025-040</t>
        </is>
      </c>
      <c r="C116" s="86" t="inlineStr">
        <is>
          <t>Venue Masters EMEA</t>
        </is>
      </c>
      <c r="D116" s="86" t="inlineStr">
        <is>
          <t>Venue Sourcing</t>
        </is>
      </c>
      <c r="E116" s="89" t="n">
        <v>45903</v>
      </c>
      <c r="F116" s="89" t="n">
        <v>45912</v>
      </c>
      <c r="G116" s="90" t="n">
        <v>9</v>
      </c>
      <c r="H116" s="87" t="n">
        <v>72407.17</v>
      </c>
      <c r="I116" s="85" t="inlineStr">
        <is>
          <t>EUR</t>
        </is>
      </c>
      <c r="J116" s="85" t="inlineStr">
        <is>
          <t>CC-3636</t>
        </is>
      </c>
      <c r="K116" s="85" t="inlineStr">
        <is>
          <t>GL-6325</t>
        </is>
      </c>
      <c r="L116" s="96" t="inlineStr">
        <is>
          <t>Draft</t>
        </is>
      </c>
      <c r="M116" s="85" t="inlineStr">
        <is>
          <t>INV-01115</t>
        </is>
      </c>
      <c r="N116" s="69" t="inlineStr">
        <is>
          <t>Paid</t>
        </is>
      </c>
      <c r="O116" s="89" t="n">
        <v>45989</v>
      </c>
      <c r="P116" s="90" t="n">
        <v>0</v>
      </c>
      <c r="Q116" s="86" t="inlineStr">
        <is>
          <t>Lena Schneider</t>
        </is>
      </c>
      <c r="R116" s="86" t="inlineStr">
        <is>
          <t>Marco Bianchi</t>
        </is>
      </c>
      <c r="S116" s="86" t="inlineStr"/>
    </row>
    <row r="117" ht="18" customHeight="1">
      <c r="A117" s="115" t="inlineStr">
        <is>
          <t>PO-2025-1116</t>
        </is>
      </c>
      <c r="B117" s="71" t="inlineStr">
        <is>
          <t>EVT-2025-040</t>
        </is>
      </c>
      <c r="C117" s="70" t="inlineStr">
        <is>
          <t>DigitalPharma Studio</t>
        </is>
      </c>
      <c r="D117" s="70" t="inlineStr">
        <is>
          <t>Digital &amp; Web</t>
        </is>
      </c>
      <c r="E117" s="72" t="n">
        <v>45947</v>
      </c>
      <c r="F117" s="72" t="n">
        <v>45957</v>
      </c>
      <c r="G117" s="91" t="n">
        <v>10</v>
      </c>
      <c r="H117" s="73" t="n">
        <v>20527.36</v>
      </c>
      <c r="I117" s="71" t="inlineStr">
        <is>
          <t>EUR</t>
        </is>
      </c>
      <c r="J117" s="71" t="inlineStr">
        <is>
          <t>CC-1507</t>
        </is>
      </c>
      <c r="K117" s="71" t="inlineStr">
        <is>
          <t>GL-6315</t>
        </is>
      </c>
      <c r="L117" s="93" t="inlineStr">
        <is>
          <t>Cancelled</t>
        </is>
      </c>
      <c r="M117" s="71" t="inlineStr">
        <is>
          <t>INV-01116</t>
        </is>
      </c>
      <c r="N117" s="96" t="inlineStr">
        <is>
          <t>Cancelled</t>
        </is>
      </c>
      <c r="O117" s="72" t="n">
        <v>45998</v>
      </c>
      <c r="P117" s="91" t="n">
        <v>0</v>
      </c>
      <c r="Q117" s="70" t="inlineStr">
        <is>
          <t>Sophie Müller</t>
        </is>
      </c>
      <c r="R117" s="70" t="inlineStr">
        <is>
          <t>David O'Brien</t>
        </is>
      </c>
      <c r="S117" s="70" t="inlineStr"/>
    </row>
    <row r="118" ht="18" customHeight="1">
      <c r="A118" s="114" t="inlineStr">
        <is>
          <t>PO-2025-1117</t>
        </is>
      </c>
      <c r="B118" s="85" t="inlineStr">
        <is>
          <t>EVT-2025-041</t>
        </is>
      </c>
      <c r="C118" s="86" t="inlineStr">
        <is>
          <t>Prime Hospitality Group</t>
        </is>
      </c>
      <c r="D118" s="86" t="inlineStr">
        <is>
          <t>Hotel &amp; Venue</t>
        </is>
      </c>
      <c r="E118" s="89" t="n">
        <v>45857</v>
      </c>
      <c r="F118" s="89" t="n">
        <v>45866</v>
      </c>
      <c r="G118" s="90" t="n">
        <v>9</v>
      </c>
      <c r="H118" s="87" t="n">
        <v>63180.88</v>
      </c>
      <c r="I118" s="85" t="inlineStr">
        <is>
          <t>EUR</t>
        </is>
      </c>
      <c r="J118" s="85" t="inlineStr">
        <is>
          <t>CC-3573</t>
        </is>
      </c>
      <c r="K118" s="85" t="inlineStr">
        <is>
          <t>GL-6310</t>
        </is>
      </c>
      <c r="L118" s="96" t="inlineStr">
        <is>
          <t>Draft</t>
        </is>
      </c>
      <c r="M118" s="85" t="inlineStr">
        <is>
          <t>INV-01117</t>
        </is>
      </c>
      <c r="N118" s="93" t="inlineStr">
        <is>
          <t>Overdue</t>
        </is>
      </c>
      <c r="O118" s="89" t="n">
        <v>45943</v>
      </c>
      <c r="P118" s="94" t="n">
        <v>254</v>
      </c>
      <c r="Q118" s="86" t="inlineStr">
        <is>
          <t>Lucas Dupont</t>
        </is>
      </c>
      <c r="R118" s="86" t="inlineStr">
        <is>
          <t>James Wilson</t>
        </is>
      </c>
      <c r="S118" s="86" t="inlineStr"/>
    </row>
    <row r="119" ht="18" customHeight="1">
      <c r="A119" s="115" t="inlineStr">
        <is>
          <t>PO-2025-1118</t>
        </is>
      </c>
      <c r="B119" s="71" t="inlineStr">
        <is>
          <t>EVT-2025-041</t>
        </is>
      </c>
      <c r="C119" s="70" t="inlineStr">
        <is>
          <t>PrintMed Solutions</t>
        </is>
      </c>
      <c r="D119" s="70" t="inlineStr">
        <is>
          <t>Print &amp; Production</t>
        </is>
      </c>
      <c r="E119" s="72" t="n">
        <v>45895</v>
      </c>
      <c r="F119" s="72" t="n">
        <v>45904</v>
      </c>
      <c r="G119" s="91" t="n">
        <v>9</v>
      </c>
      <c r="H119" s="73" t="n">
        <v>23978.2</v>
      </c>
      <c r="I119" s="71" t="inlineStr">
        <is>
          <t>EUR</t>
        </is>
      </c>
      <c r="J119" s="71" t="inlineStr">
        <is>
          <t>CC-9849</t>
        </is>
      </c>
      <c r="K119" s="71" t="inlineStr">
        <is>
          <t>GL-6312</t>
        </is>
      </c>
      <c r="L119" s="93" t="inlineStr">
        <is>
          <t>Cancelled</t>
        </is>
      </c>
      <c r="M119" s="71" t="inlineStr">
        <is>
          <t>INV-01118</t>
        </is>
      </c>
      <c r="N119" s="69" t="inlineStr">
        <is>
          <t>Paid</t>
        </is>
      </c>
      <c r="O119" s="72" t="n">
        <v>45937</v>
      </c>
      <c r="P119" s="91" t="n">
        <v>0</v>
      </c>
      <c r="Q119" s="70" t="inlineStr">
        <is>
          <t>Isabel Ferreira</t>
        </is>
      </c>
      <c r="R119" s="70" t="inlineStr">
        <is>
          <t>Isabel Ferreira</t>
        </is>
      </c>
      <c r="S119" s="70" t="inlineStr"/>
    </row>
    <row r="120" ht="18" customHeight="1">
      <c r="A120" s="114" t="inlineStr">
        <is>
          <t>PO-2025-1119</t>
        </is>
      </c>
      <c r="B120" s="85" t="inlineStr">
        <is>
          <t>EVT-2025-041</t>
        </is>
      </c>
      <c r="C120" s="86" t="inlineStr">
        <is>
          <t>HealthMarketing Group</t>
        </is>
      </c>
      <c r="D120" s="86" t="inlineStr">
        <is>
          <t>Marketing Agency</t>
        </is>
      </c>
      <c r="E120" s="89" t="n">
        <v>45900</v>
      </c>
      <c r="F120" s="89" t="n">
        <v>45904</v>
      </c>
      <c r="G120" s="90" t="n">
        <v>4</v>
      </c>
      <c r="H120" s="87" t="n">
        <v>64498.22</v>
      </c>
      <c r="I120" s="85" t="inlineStr">
        <is>
          <t>EUR</t>
        </is>
      </c>
      <c r="J120" s="85" t="inlineStr">
        <is>
          <t>CC-1813</t>
        </is>
      </c>
      <c r="K120" s="85" t="inlineStr">
        <is>
          <t>GL-6315</t>
        </is>
      </c>
      <c r="L120" s="116" t="inlineStr">
        <is>
          <t>Closed</t>
        </is>
      </c>
      <c r="M120" s="85" t="inlineStr">
        <is>
          <t>INV-01119</t>
        </is>
      </c>
      <c r="N120" s="96" t="inlineStr">
        <is>
          <t>Pending</t>
        </is>
      </c>
      <c r="O120" s="89" t="n">
        <v>45945</v>
      </c>
      <c r="P120" s="90" t="n">
        <v>0</v>
      </c>
      <c r="Q120" s="86" t="inlineStr">
        <is>
          <t>Lena Schneider</t>
        </is>
      </c>
      <c r="R120" s="86" t="inlineStr">
        <is>
          <t>Carlos Navarro</t>
        </is>
      </c>
      <c r="S120" s="86" t="inlineStr"/>
    </row>
    <row r="121" ht="18" customHeight="1">
      <c r="A121" s="115" t="inlineStr">
        <is>
          <t>PO-2025-1120</t>
        </is>
      </c>
      <c r="B121" s="71" t="inlineStr">
        <is>
          <t>EVT-2025-041</t>
        </is>
      </c>
      <c r="C121" s="70" t="inlineStr">
        <is>
          <t>Catering Excellence</t>
        </is>
      </c>
      <c r="D121" s="70" t="inlineStr">
        <is>
          <t>F&amp;B / Catering</t>
        </is>
      </c>
      <c r="E121" s="72" t="n">
        <v>45907</v>
      </c>
      <c r="F121" s="72" t="n">
        <v>45910</v>
      </c>
      <c r="G121" s="91" t="n">
        <v>3</v>
      </c>
      <c r="H121" s="73" t="n">
        <v>30954.54</v>
      </c>
      <c r="I121" s="71" t="inlineStr">
        <is>
          <t>EUR</t>
        </is>
      </c>
      <c r="J121" s="71" t="inlineStr">
        <is>
          <t>CC-6911</t>
        </is>
      </c>
      <c r="K121" s="71" t="inlineStr">
        <is>
          <t>GL-6310</t>
        </is>
      </c>
      <c r="L121" s="88" t="inlineStr">
        <is>
          <t>Sent to Supplier</t>
        </is>
      </c>
      <c r="M121" s="71" t="inlineStr">
        <is>
          <t>INV-01120</t>
        </is>
      </c>
      <c r="N121" s="93" t="inlineStr">
        <is>
          <t>Overdue</t>
        </is>
      </c>
      <c r="O121" s="72" t="n">
        <v>45946</v>
      </c>
      <c r="P121" s="94" t="n">
        <v>251</v>
      </c>
      <c r="Q121" s="70" t="inlineStr">
        <is>
          <t>Marco Bianchi</t>
        </is>
      </c>
      <c r="R121" s="70" t="inlineStr">
        <is>
          <t>Isabel Ferreira</t>
        </is>
      </c>
      <c r="S121" s="70" t="inlineStr"/>
    </row>
    <row r="122" ht="18" customHeight="1">
      <c r="A122" s="114" t="inlineStr">
        <is>
          <t>PO-2025-1121</t>
        </is>
      </c>
      <c r="B122" s="85" t="inlineStr">
        <is>
          <t>EVT-2025-042</t>
        </is>
      </c>
      <c r="C122" s="86" t="inlineStr">
        <is>
          <t>Catering Excellence</t>
        </is>
      </c>
      <c r="D122" s="86" t="inlineStr">
        <is>
          <t>F&amp;B / Catering</t>
        </is>
      </c>
      <c r="E122" s="89" t="n">
        <v>45904</v>
      </c>
      <c r="F122" s="89" t="n">
        <v>45914</v>
      </c>
      <c r="G122" s="90" t="n">
        <v>10</v>
      </c>
      <c r="H122" s="87" t="n">
        <v>14504.36</v>
      </c>
      <c r="I122" s="85" t="inlineStr">
        <is>
          <t>EUR</t>
        </is>
      </c>
      <c r="J122" s="85" t="inlineStr">
        <is>
          <t>CC-4271</t>
        </is>
      </c>
      <c r="K122" s="85" t="inlineStr">
        <is>
          <t>GL-6310</t>
        </is>
      </c>
      <c r="L122" s="96" t="inlineStr">
        <is>
          <t>Draft</t>
        </is>
      </c>
      <c r="M122" s="85" t="inlineStr"/>
      <c r="N122" s="88" t="inlineStr">
        <is>
          <t>Approved</t>
        </is>
      </c>
      <c r="O122" s="89" t="n">
        <v>45986</v>
      </c>
      <c r="P122" s="90" t="n">
        <v>0</v>
      </c>
      <c r="Q122" s="86" t="inlineStr">
        <is>
          <t>James Wilson</t>
        </is>
      </c>
      <c r="R122" s="86" t="inlineStr">
        <is>
          <t>Sophie Müller</t>
        </is>
      </c>
      <c r="S122" s="86" t="inlineStr"/>
    </row>
    <row r="123" ht="18" customHeight="1">
      <c r="A123" s="115" t="inlineStr">
        <is>
          <t>PO-2025-1122</t>
        </is>
      </c>
      <c r="B123" s="71" t="inlineStr">
        <is>
          <t>EVT-2025-043</t>
        </is>
      </c>
      <c r="C123" s="70" t="inlineStr">
        <is>
          <t>InterCongress PCO</t>
        </is>
      </c>
      <c r="D123" s="70" t="inlineStr">
        <is>
          <t>PCO / Event Agency</t>
        </is>
      </c>
      <c r="E123" s="72" t="n">
        <v>45652</v>
      </c>
      <c r="F123" s="72" t="n">
        <v>45659</v>
      </c>
      <c r="G123" s="91" t="n">
        <v>7</v>
      </c>
      <c r="H123" s="73" t="n">
        <v>34361.96</v>
      </c>
      <c r="I123" s="71" t="inlineStr">
        <is>
          <t>EUR</t>
        </is>
      </c>
      <c r="J123" s="71" t="inlineStr">
        <is>
          <t>CC-2342</t>
        </is>
      </c>
      <c r="K123" s="71" t="inlineStr">
        <is>
          <t>GL-6315</t>
        </is>
      </c>
      <c r="L123" s="96" t="inlineStr">
        <is>
          <t>Draft</t>
        </is>
      </c>
      <c r="M123" s="71" t="inlineStr">
        <is>
          <t>INV-01122</t>
        </is>
      </c>
      <c r="N123" s="88" t="inlineStr">
        <is>
          <t>Approved</t>
        </is>
      </c>
      <c r="O123" s="72" t="n">
        <v>45722</v>
      </c>
      <c r="P123" s="91" t="n">
        <v>0</v>
      </c>
      <c r="Q123" s="70" t="inlineStr">
        <is>
          <t>Isabel Ferreira</t>
        </is>
      </c>
      <c r="R123" s="70" t="inlineStr">
        <is>
          <t>Emma Johansson</t>
        </is>
      </c>
      <c r="S123" s="70" t="inlineStr"/>
    </row>
    <row r="124" ht="18" customHeight="1">
      <c r="A124" s="114" t="inlineStr">
        <is>
          <t>PO-2025-1123</t>
        </is>
      </c>
      <c r="B124" s="85" t="inlineStr">
        <is>
          <t>EVT-2025-043</t>
        </is>
      </c>
      <c r="C124" s="86" t="inlineStr">
        <is>
          <t>Prime Hospitality Group</t>
        </is>
      </c>
      <c r="D124" s="86" t="inlineStr">
        <is>
          <t>Hotel &amp; Venue</t>
        </is>
      </c>
      <c r="E124" s="89" t="n">
        <v>45674</v>
      </c>
      <c r="F124" s="89" t="n">
        <v>45684</v>
      </c>
      <c r="G124" s="90" t="n">
        <v>10</v>
      </c>
      <c r="H124" s="87" t="n">
        <v>31243.19</v>
      </c>
      <c r="I124" s="85" t="inlineStr">
        <is>
          <t>EUR</t>
        </is>
      </c>
      <c r="J124" s="85" t="inlineStr">
        <is>
          <t>CC-5341</t>
        </is>
      </c>
      <c r="K124" s="85" t="inlineStr">
        <is>
          <t>GL-6310</t>
        </is>
      </c>
      <c r="L124" s="93" t="inlineStr">
        <is>
          <t>Cancelled</t>
        </is>
      </c>
      <c r="M124" s="85" t="inlineStr">
        <is>
          <t>INV-01123</t>
        </is>
      </c>
      <c r="N124" s="96" t="inlineStr">
        <is>
          <t>Pending</t>
        </is>
      </c>
      <c r="O124" s="89" t="n">
        <v>45734</v>
      </c>
      <c r="P124" s="90" t="n">
        <v>0</v>
      </c>
      <c r="Q124" s="86" t="inlineStr">
        <is>
          <t>Lena Schneider</t>
        </is>
      </c>
      <c r="R124" s="86" t="inlineStr">
        <is>
          <t>Emma Johansson</t>
        </is>
      </c>
      <c r="S124" s="86" t="inlineStr"/>
    </row>
    <row r="125" ht="18" customHeight="1">
      <c r="A125" s="115" t="inlineStr">
        <is>
          <t>PO-2025-1124</t>
        </is>
      </c>
      <c r="B125" s="71" t="inlineStr">
        <is>
          <t>EVT-2025-043</t>
        </is>
      </c>
      <c r="C125" s="70" t="inlineStr">
        <is>
          <t>Translingua Pro</t>
        </is>
      </c>
      <c r="D125" s="70" t="inlineStr">
        <is>
          <t>Translation &amp; Interpretation</t>
        </is>
      </c>
      <c r="E125" s="72" t="n">
        <v>45689</v>
      </c>
      <c r="F125" s="72" t="n">
        <v>45697</v>
      </c>
      <c r="G125" s="91" t="n">
        <v>8</v>
      </c>
      <c r="H125" s="73" t="n">
        <v>28152.65</v>
      </c>
      <c r="I125" s="71" t="inlineStr">
        <is>
          <t>EUR</t>
        </is>
      </c>
      <c r="J125" s="71" t="inlineStr">
        <is>
          <t>CC-7249</t>
        </is>
      </c>
      <c r="K125" s="71" t="inlineStr">
        <is>
          <t>GL-6312</t>
        </is>
      </c>
      <c r="L125" s="76" t="inlineStr">
        <is>
          <t>Pending Approval</t>
        </is>
      </c>
      <c r="M125" s="71" t="inlineStr">
        <is>
          <t>INV-01124</t>
        </is>
      </c>
      <c r="N125" s="95" t="inlineStr">
        <is>
          <t>Invoiced</t>
        </is>
      </c>
      <c r="O125" s="72" t="n">
        <v>45730</v>
      </c>
      <c r="P125" s="91" t="n">
        <v>0</v>
      </c>
      <c r="Q125" s="70" t="inlineStr">
        <is>
          <t>Carlos Navarro</t>
        </is>
      </c>
      <c r="R125" s="70" t="inlineStr">
        <is>
          <t>Ana García</t>
        </is>
      </c>
      <c r="S125" s="70" t="inlineStr"/>
    </row>
    <row r="126" ht="18" customHeight="1">
      <c r="A126" s="114" t="inlineStr">
        <is>
          <t>PO-2025-1125</t>
        </is>
      </c>
      <c r="B126" s="85" t="inlineStr">
        <is>
          <t>EVT-2025-043</t>
        </is>
      </c>
      <c r="C126" s="86" t="inlineStr">
        <is>
          <t>PharmaLogix</t>
        </is>
      </c>
      <c r="D126" s="86" t="inlineStr">
        <is>
          <t>Logistics &amp; Transport</t>
        </is>
      </c>
      <c r="E126" s="89" t="n">
        <v>45666</v>
      </c>
      <c r="F126" s="89" t="n">
        <v>45676</v>
      </c>
      <c r="G126" s="90" t="n">
        <v>10</v>
      </c>
      <c r="H126" s="87" t="n">
        <v>66826.62</v>
      </c>
      <c r="I126" s="85" t="inlineStr">
        <is>
          <t>EUR</t>
        </is>
      </c>
      <c r="J126" s="85" t="inlineStr">
        <is>
          <t>CC-8619</t>
        </is>
      </c>
      <c r="K126" s="85" t="inlineStr">
        <is>
          <t>GL-6312</t>
        </is>
      </c>
      <c r="L126" s="76" t="inlineStr">
        <is>
          <t>Pending Approval</t>
        </is>
      </c>
      <c r="M126" s="85" t="inlineStr">
        <is>
          <t>INV-01125</t>
        </is>
      </c>
      <c r="N126" s="93" t="inlineStr">
        <is>
          <t>Overdue</t>
        </is>
      </c>
      <c r="O126" s="89" t="n">
        <v>45712</v>
      </c>
      <c r="P126" s="94" t="n">
        <v>485</v>
      </c>
      <c r="Q126" s="86" t="inlineStr">
        <is>
          <t>Isabel Ferreira</t>
        </is>
      </c>
      <c r="R126" s="86" t="inlineStr">
        <is>
          <t>David O'Brien</t>
        </is>
      </c>
      <c r="S126" s="86" t="inlineStr"/>
    </row>
    <row r="127" ht="18" customHeight="1">
      <c r="A127" s="115" t="inlineStr">
        <is>
          <t>PO-2025-1126</t>
        </is>
      </c>
      <c r="B127" s="71" t="inlineStr">
        <is>
          <t>EVT-2025-044</t>
        </is>
      </c>
      <c r="C127" s="70" t="inlineStr">
        <is>
          <t>AVIAWORLD Travel</t>
        </is>
      </c>
      <c r="D127" s="70" t="inlineStr">
        <is>
          <t>Travel &amp; Air</t>
        </is>
      </c>
      <c r="E127" s="72" t="n">
        <v>45682</v>
      </c>
      <c r="F127" s="72" t="n">
        <v>45687</v>
      </c>
      <c r="G127" s="91" t="n">
        <v>5</v>
      </c>
      <c r="H127" s="73" t="n">
        <v>67127.12</v>
      </c>
      <c r="I127" s="71" t="inlineStr">
        <is>
          <t>EUR</t>
        </is>
      </c>
      <c r="J127" s="71" t="inlineStr">
        <is>
          <t>CC-2584</t>
        </is>
      </c>
      <c r="K127" s="71" t="inlineStr">
        <is>
          <t>GL-6310</t>
        </is>
      </c>
      <c r="L127" s="93" t="inlineStr">
        <is>
          <t>Cancelled</t>
        </is>
      </c>
      <c r="M127" s="71" t="inlineStr"/>
      <c r="N127" s="93" t="inlineStr">
        <is>
          <t>Overdue</t>
        </is>
      </c>
      <c r="O127" s="72" t="n">
        <v>45715</v>
      </c>
      <c r="P127" s="94" t="n">
        <v>482</v>
      </c>
      <c r="Q127" s="70" t="inlineStr">
        <is>
          <t>Lucas Dupont</t>
        </is>
      </c>
      <c r="R127" s="70" t="inlineStr">
        <is>
          <t>Lena Schneider</t>
        </is>
      </c>
      <c r="S127" s="70" t="inlineStr"/>
    </row>
    <row r="128" ht="18" customHeight="1">
      <c r="A128" s="114" t="inlineStr">
        <is>
          <t>PO-2025-1127</t>
        </is>
      </c>
      <c r="B128" s="85" t="inlineStr">
        <is>
          <t>EVT-2025-045</t>
        </is>
      </c>
      <c r="C128" s="86" t="inlineStr">
        <is>
          <t>InterCongress PCO</t>
        </is>
      </c>
      <c r="D128" s="86" t="inlineStr">
        <is>
          <t>PCO / Event Agency</t>
        </is>
      </c>
      <c r="E128" s="89" t="n">
        <v>45738</v>
      </c>
      <c r="F128" s="89" t="n">
        <v>45744</v>
      </c>
      <c r="G128" s="90" t="n">
        <v>6</v>
      </c>
      <c r="H128" s="87" t="n">
        <v>5724.46</v>
      </c>
      <c r="I128" s="85" t="inlineStr">
        <is>
          <t>EUR</t>
        </is>
      </c>
      <c r="J128" s="85" t="inlineStr">
        <is>
          <t>CC-1999</t>
        </is>
      </c>
      <c r="K128" s="85" t="inlineStr">
        <is>
          <t>GL-6330</t>
        </is>
      </c>
      <c r="L128" s="88" t="inlineStr">
        <is>
          <t>Sent to Supplier</t>
        </is>
      </c>
      <c r="M128" s="85" t="inlineStr">
        <is>
          <t>INV-01127</t>
        </is>
      </c>
      <c r="N128" s="93" t="inlineStr">
        <is>
          <t>Overdue</t>
        </is>
      </c>
      <c r="O128" s="89" t="n">
        <v>45794</v>
      </c>
      <c r="P128" s="94" t="n">
        <v>403</v>
      </c>
      <c r="Q128" s="86" t="inlineStr">
        <is>
          <t>Lena Schneider</t>
        </is>
      </c>
      <c r="R128" s="86" t="inlineStr">
        <is>
          <t>Emma Johansson</t>
        </is>
      </c>
      <c r="S128" s="86" t="inlineStr"/>
    </row>
    <row r="129" ht="18" customHeight="1">
      <c r="A129" s="115" t="inlineStr">
        <is>
          <t>PO-2025-1128</t>
        </is>
      </c>
      <c r="B129" s="71" t="inlineStr">
        <is>
          <t>EVT-2025-045</t>
        </is>
      </c>
      <c r="C129" s="70" t="inlineStr">
        <is>
          <t>Venue Masters EMEA</t>
        </is>
      </c>
      <c r="D129" s="70" t="inlineStr">
        <is>
          <t>Venue Sourcing</t>
        </is>
      </c>
      <c r="E129" s="72" t="n">
        <v>45728</v>
      </c>
      <c r="F129" s="72" t="n">
        <v>45738</v>
      </c>
      <c r="G129" s="91" t="n">
        <v>10</v>
      </c>
      <c r="H129" s="73" t="n">
        <v>67261.64</v>
      </c>
      <c r="I129" s="71" t="inlineStr">
        <is>
          <t>EUR</t>
        </is>
      </c>
      <c r="J129" s="71" t="inlineStr">
        <is>
          <t>CC-4860</t>
        </is>
      </c>
      <c r="K129" s="71" t="inlineStr">
        <is>
          <t>GL-6315</t>
        </is>
      </c>
      <c r="L129" s="69" t="inlineStr">
        <is>
          <t>Approved</t>
        </is>
      </c>
      <c r="M129" s="71" t="inlineStr"/>
      <c r="N129" s="96" t="inlineStr">
        <is>
          <t>Pending</t>
        </is>
      </c>
      <c r="O129" s="72" t="n">
        <v>45792</v>
      </c>
      <c r="P129" s="91" t="n">
        <v>0</v>
      </c>
      <c r="Q129" s="70" t="inlineStr">
        <is>
          <t>Marco Bianchi</t>
        </is>
      </c>
      <c r="R129" s="70" t="inlineStr">
        <is>
          <t>Emma Johansson</t>
        </is>
      </c>
      <c r="S129" s="70" t="inlineStr"/>
    </row>
    <row r="130" ht="18" customHeight="1">
      <c r="A130" s="114" t="inlineStr">
        <is>
          <t>PO-2025-1129</t>
        </is>
      </c>
      <c r="B130" s="85" t="inlineStr">
        <is>
          <t>EVT-2025-045</t>
        </is>
      </c>
      <c r="C130" s="86" t="inlineStr">
        <is>
          <t>Catering Excellence</t>
        </is>
      </c>
      <c r="D130" s="86" t="inlineStr">
        <is>
          <t>F&amp;B / Catering</t>
        </is>
      </c>
      <c r="E130" s="89" t="n">
        <v>45716</v>
      </c>
      <c r="F130" s="89" t="n">
        <v>45719</v>
      </c>
      <c r="G130" s="90" t="n">
        <v>3</v>
      </c>
      <c r="H130" s="87" t="n">
        <v>20871.17</v>
      </c>
      <c r="I130" s="85" t="inlineStr">
        <is>
          <t>EUR</t>
        </is>
      </c>
      <c r="J130" s="85" t="inlineStr">
        <is>
          <t>CC-9226</t>
        </is>
      </c>
      <c r="K130" s="85" t="inlineStr">
        <is>
          <t>GL-6320</t>
        </is>
      </c>
      <c r="L130" s="116" t="inlineStr">
        <is>
          <t>Closed</t>
        </is>
      </c>
      <c r="M130" s="85" t="inlineStr">
        <is>
          <t>INV-01129</t>
        </is>
      </c>
      <c r="N130" s="96" t="inlineStr">
        <is>
          <t>Pending</t>
        </is>
      </c>
      <c r="O130" s="89" t="n">
        <v>45803</v>
      </c>
      <c r="P130" s="90" t="n">
        <v>0</v>
      </c>
      <c r="Q130" s="86" t="inlineStr">
        <is>
          <t>David O'Brien</t>
        </is>
      </c>
      <c r="R130" s="86" t="inlineStr">
        <is>
          <t>Maria Kowalski</t>
        </is>
      </c>
      <c r="S130" s="86" t="inlineStr"/>
    </row>
    <row r="131" ht="18" customHeight="1">
      <c r="A131" s="115" t="inlineStr">
        <is>
          <t>PO-2025-1130</t>
        </is>
      </c>
      <c r="B131" s="71" t="inlineStr">
        <is>
          <t>EVT-2025-045</t>
        </is>
      </c>
      <c r="C131" s="70" t="inlineStr">
        <is>
          <t>Prime Hospitality Group</t>
        </is>
      </c>
      <c r="D131" s="70" t="inlineStr">
        <is>
          <t>Hotel &amp; Venue</t>
        </is>
      </c>
      <c r="E131" s="72" t="n">
        <v>45733</v>
      </c>
      <c r="F131" s="72" t="n">
        <v>45738</v>
      </c>
      <c r="G131" s="91" t="n">
        <v>5</v>
      </c>
      <c r="H131" s="73" t="n">
        <v>46511.77</v>
      </c>
      <c r="I131" s="71" t="inlineStr">
        <is>
          <t>EUR</t>
        </is>
      </c>
      <c r="J131" s="71" t="inlineStr">
        <is>
          <t>CC-2970</t>
        </is>
      </c>
      <c r="K131" s="71" t="inlineStr">
        <is>
          <t>GL-6330</t>
        </is>
      </c>
      <c r="L131" s="88" t="inlineStr">
        <is>
          <t>Sent to Supplier</t>
        </is>
      </c>
      <c r="M131" s="71" t="inlineStr">
        <is>
          <t>INV-01130</t>
        </is>
      </c>
      <c r="N131" s="96" t="inlineStr">
        <is>
          <t>Pending</t>
        </is>
      </c>
      <c r="O131" s="72" t="n">
        <v>45802</v>
      </c>
      <c r="P131" s="91" t="n">
        <v>0</v>
      </c>
      <c r="Q131" s="70" t="inlineStr">
        <is>
          <t>Sophie Müller</t>
        </is>
      </c>
      <c r="R131" s="70" t="inlineStr">
        <is>
          <t>Sophie Müller</t>
        </is>
      </c>
      <c r="S131" s="70" t="inlineStr"/>
    </row>
    <row r="132" ht="18" customHeight="1">
      <c r="A132" s="114" t="inlineStr">
        <is>
          <t>PO-2025-1131</t>
        </is>
      </c>
      <c r="B132" s="85" t="inlineStr">
        <is>
          <t>EVT-2025-046</t>
        </is>
      </c>
      <c r="C132" s="86" t="inlineStr">
        <is>
          <t>InterCongress PCO</t>
        </is>
      </c>
      <c r="D132" s="86" t="inlineStr">
        <is>
          <t>PCO / Event Agency</t>
        </is>
      </c>
      <c r="E132" s="89" t="n">
        <v>45770</v>
      </c>
      <c r="F132" s="89" t="n">
        <v>45776</v>
      </c>
      <c r="G132" s="90" t="n">
        <v>6</v>
      </c>
      <c r="H132" s="87" t="n">
        <v>79089.86</v>
      </c>
      <c r="I132" s="85" t="inlineStr">
        <is>
          <t>EUR</t>
        </is>
      </c>
      <c r="J132" s="85" t="inlineStr">
        <is>
          <t>CC-3067</t>
        </is>
      </c>
      <c r="K132" s="85" t="inlineStr">
        <is>
          <t>GL-6310</t>
        </is>
      </c>
      <c r="L132" s="88" t="inlineStr">
        <is>
          <t>Sent to Supplier</t>
        </is>
      </c>
      <c r="M132" s="85" t="inlineStr">
        <is>
          <t>INV-01131</t>
        </is>
      </c>
      <c r="N132" s="96" t="inlineStr">
        <is>
          <t>Cancelled</t>
        </is>
      </c>
      <c r="O132" s="89" t="n">
        <v>45813</v>
      </c>
      <c r="P132" s="90" t="n">
        <v>0</v>
      </c>
      <c r="Q132" s="86" t="inlineStr">
        <is>
          <t>Marco Bianchi</t>
        </is>
      </c>
      <c r="R132" s="86" t="inlineStr">
        <is>
          <t>Maria Kowalski</t>
        </is>
      </c>
      <c r="S132" s="86" t="inlineStr"/>
    </row>
    <row r="133" ht="18" customHeight="1">
      <c r="A133" s="115" t="inlineStr">
        <is>
          <t>PO-2025-1132</t>
        </is>
      </c>
      <c r="B133" s="71" t="inlineStr">
        <is>
          <t>EVT-2025-046</t>
        </is>
      </c>
      <c r="C133" s="70" t="inlineStr">
        <is>
          <t>PrintMed Solutions</t>
        </is>
      </c>
      <c r="D133" s="70" t="inlineStr">
        <is>
          <t>Print &amp; Production</t>
        </is>
      </c>
      <c r="E133" s="72" t="n">
        <v>45762</v>
      </c>
      <c r="F133" s="72" t="n">
        <v>45768</v>
      </c>
      <c r="G133" s="91" t="n">
        <v>6</v>
      </c>
      <c r="H133" s="73" t="n">
        <v>32176.74</v>
      </c>
      <c r="I133" s="71" t="inlineStr">
        <is>
          <t>EUR</t>
        </is>
      </c>
      <c r="J133" s="71" t="inlineStr">
        <is>
          <t>CC-3422</t>
        </is>
      </c>
      <c r="K133" s="71" t="inlineStr">
        <is>
          <t>GL-6330</t>
        </is>
      </c>
      <c r="L133" s="116" t="inlineStr">
        <is>
          <t>Closed</t>
        </is>
      </c>
      <c r="M133" s="71" t="inlineStr"/>
      <c r="N133" s="96" t="inlineStr">
        <is>
          <t>Pending</t>
        </is>
      </c>
      <c r="O133" s="72" t="n">
        <v>45819</v>
      </c>
      <c r="P133" s="91" t="n">
        <v>0</v>
      </c>
      <c r="Q133" s="70" t="inlineStr">
        <is>
          <t>Isabel Ferreira</t>
        </is>
      </c>
      <c r="R133" s="70" t="inlineStr">
        <is>
          <t>Lucas Dupont</t>
        </is>
      </c>
      <c r="S133" s="70" t="inlineStr"/>
    </row>
    <row r="134" ht="18" customHeight="1">
      <c r="A134" s="114" t="inlineStr">
        <is>
          <t>PO-2025-1133</t>
        </is>
      </c>
      <c r="B134" s="85" t="inlineStr">
        <is>
          <t>EVT-2025-046</t>
        </is>
      </c>
      <c r="C134" s="86" t="inlineStr">
        <is>
          <t>TechEvent Systems</t>
        </is>
      </c>
      <c r="D134" s="86" t="inlineStr">
        <is>
          <t>Registration &amp; Tech</t>
        </is>
      </c>
      <c r="E134" s="89" t="n">
        <v>45719</v>
      </c>
      <c r="F134" s="89" t="n">
        <v>45723</v>
      </c>
      <c r="G134" s="90" t="n">
        <v>4</v>
      </c>
      <c r="H134" s="87" t="n">
        <v>28894.59</v>
      </c>
      <c r="I134" s="85" t="inlineStr">
        <is>
          <t>EUR</t>
        </is>
      </c>
      <c r="J134" s="85" t="inlineStr">
        <is>
          <t>CC-2425</t>
        </is>
      </c>
      <c r="K134" s="85" t="inlineStr">
        <is>
          <t>GL-6315</t>
        </is>
      </c>
      <c r="L134" s="116" t="inlineStr">
        <is>
          <t>Closed</t>
        </is>
      </c>
      <c r="M134" s="85" t="inlineStr">
        <is>
          <t>INV-01133</t>
        </is>
      </c>
      <c r="N134" s="96" t="inlineStr">
        <is>
          <t>Pending</t>
        </is>
      </c>
      <c r="O134" s="89" t="n">
        <v>45807</v>
      </c>
      <c r="P134" s="90" t="n">
        <v>0</v>
      </c>
      <c r="Q134" s="86" t="inlineStr">
        <is>
          <t>Emma Johansson</t>
        </is>
      </c>
      <c r="R134" s="86" t="inlineStr">
        <is>
          <t>Lena Schneider</t>
        </is>
      </c>
      <c r="S134" s="86" t="inlineStr"/>
    </row>
    <row r="135" ht="18" customHeight="1">
      <c r="A135" s="115" t="inlineStr">
        <is>
          <t>PO-2025-1134</t>
        </is>
      </c>
      <c r="B135" s="71" t="inlineStr">
        <is>
          <t>EVT-2025-047</t>
        </is>
      </c>
      <c r="C135" s="70" t="inlineStr">
        <is>
          <t>KOL Connect</t>
        </is>
      </c>
      <c r="D135" s="70" t="inlineStr">
        <is>
          <t>Speaker Management</t>
        </is>
      </c>
      <c r="E135" s="72" t="n">
        <v>45878</v>
      </c>
      <c r="F135" s="72" t="n">
        <v>45885</v>
      </c>
      <c r="G135" s="91" t="n">
        <v>7</v>
      </c>
      <c r="H135" s="73" t="n">
        <v>28406.69</v>
      </c>
      <c r="I135" s="71" t="inlineStr">
        <is>
          <t>EUR</t>
        </is>
      </c>
      <c r="J135" s="71" t="inlineStr">
        <is>
          <t>CC-9514</t>
        </is>
      </c>
      <c r="K135" s="71" t="inlineStr">
        <is>
          <t>GL-6315</t>
        </is>
      </c>
      <c r="L135" s="96" t="inlineStr">
        <is>
          <t>Draft</t>
        </is>
      </c>
      <c r="M135" s="71" t="inlineStr">
        <is>
          <t>INV-01134</t>
        </is>
      </c>
      <c r="N135" s="96" t="inlineStr">
        <is>
          <t>Cancelled</t>
        </is>
      </c>
      <c r="O135" s="72" t="n">
        <v>45928</v>
      </c>
      <c r="P135" s="91" t="n">
        <v>0</v>
      </c>
      <c r="Q135" s="70" t="inlineStr">
        <is>
          <t>Thomas Dubois</t>
        </is>
      </c>
      <c r="R135" s="70" t="inlineStr">
        <is>
          <t>David O'Brien</t>
        </is>
      </c>
      <c r="S135" s="70" t="inlineStr"/>
    </row>
    <row r="136" ht="18" customHeight="1">
      <c r="A136" s="114" t="inlineStr">
        <is>
          <t>PO-2025-1135</t>
        </is>
      </c>
      <c r="B136" s="85" t="inlineStr">
        <is>
          <t>EVT-2025-047</t>
        </is>
      </c>
      <c r="C136" s="86" t="inlineStr">
        <is>
          <t>Venue Masters EMEA</t>
        </is>
      </c>
      <c r="D136" s="86" t="inlineStr">
        <is>
          <t>Venue Sourcing</t>
        </is>
      </c>
      <c r="E136" s="89" t="n">
        <v>45861</v>
      </c>
      <c r="F136" s="89" t="n">
        <v>45870</v>
      </c>
      <c r="G136" s="90" t="n">
        <v>9</v>
      </c>
      <c r="H136" s="87" t="n">
        <v>56240.36</v>
      </c>
      <c r="I136" s="85" t="inlineStr">
        <is>
          <t>EUR</t>
        </is>
      </c>
      <c r="J136" s="85" t="inlineStr">
        <is>
          <t>CC-2843</t>
        </is>
      </c>
      <c r="K136" s="85" t="inlineStr">
        <is>
          <t>GL-6315</t>
        </is>
      </c>
      <c r="L136" s="76" t="inlineStr">
        <is>
          <t>Pending Approval</t>
        </is>
      </c>
      <c r="M136" s="85" t="inlineStr">
        <is>
          <t>INV-01135</t>
        </is>
      </c>
      <c r="N136" s="88" t="inlineStr">
        <is>
          <t>Approved</t>
        </is>
      </c>
      <c r="O136" s="89" t="n">
        <v>45928</v>
      </c>
      <c r="P136" s="90" t="n">
        <v>0</v>
      </c>
      <c r="Q136" s="86" t="inlineStr">
        <is>
          <t>Sophie Müller</t>
        </is>
      </c>
      <c r="R136" s="86" t="inlineStr">
        <is>
          <t>David O'Brien</t>
        </is>
      </c>
      <c r="S136" s="86" t="inlineStr"/>
    </row>
    <row r="137" ht="18" customHeight="1">
      <c r="A137" s="115" t="inlineStr">
        <is>
          <t>PO-2025-1136</t>
        </is>
      </c>
      <c r="B137" s="71" t="inlineStr">
        <is>
          <t>EVT-2025-047</t>
        </is>
      </c>
      <c r="C137" s="70" t="inlineStr">
        <is>
          <t>PharmaLogix</t>
        </is>
      </c>
      <c r="D137" s="70" t="inlineStr">
        <is>
          <t>Logistics &amp; Transport</t>
        </is>
      </c>
      <c r="E137" s="72" t="n">
        <v>45880</v>
      </c>
      <c r="F137" s="72" t="n">
        <v>45884</v>
      </c>
      <c r="G137" s="91" t="n">
        <v>4</v>
      </c>
      <c r="H137" s="73" t="n">
        <v>75601.2</v>
      </c>
      <c r="I137" s="71" t="inlineStr">
        <is>
          <t>EUR</t>
        </is>
      </c>
      <c r="J137" s="71" t="inlineStr">
        <is>
          <t>CC-2730</t>
        </is>
      </c>
      <c r="K137" s="71" t="inlineStr">
        <is>
          <t>GL-6320</t>
        </is>
      </c>
      <c r="L137" s="96" t="inlineStr">
        <is>
          <t>Draft</t>
        </is>
      </c>
      <c r="M137" s="71" t="inlineStr">
        <is>
          <t>INV-01136</t>
        </is>
      </c>
      <c r="N137" s="96" t="inlineStr">
        <is>
          <t>Pending</t>
        </is>
      </c>
      <c r="O137" s="72" t="n">
        <v>45947</v>
      </c>
      <c r="P137" s="91" t="n">
        <v>0</v>
      </c>
      <c r="Q137" s="70" t="inlineStr">
        <is>
          <t>Isabel Ferreira</t>
        </is>
      </c>
      <c r="R137" s="70" t="inlineStr">
        <is>
          <t>Lena Schneider</t>
        </is>
      </c>
      <c r="S137" s="70" t="inlineStr"/>
    </row>
    <row r="138" ht="18" customHeight="1">
      <c r="A138" s="114" t="inlineStr">
        <is>
          <t>PO-2025-1137</t>
        </is>
      </c>
      <c r="B138" s="85" t="inlineStr">
        <is>
          <t>EVT-2025-047</t>
        </is>
      </c>
      <c r="C138" s="86" t="inlineStr">
        <is>
          <t>MedAudio AV Solutions</t>
        </is>
      </c>
      <c r="D138" s="86" t="inlineStr">
        <is>
          <t>AV &amp; Technology</t>
        </is>
      </c>
      <c r="E138" s="89" t="n">
        <v>45853</v>
      </c>
      <c r="F138" s="89" t="n">
        <v>45861</v>
      </c>
      <c r="G138" s="90" t="n">
        <v>8</v>
      </c>
      <c r="H138" s="87" t="n">
        <v>5268.66</v>
      </c>
      <c r="I138" s="85" t="inlineStr">
        <is>
          <t>EUR</t>
        </is>
      </c>
      <c r="J138" s="85" t="inlineStr">
        <is>
          <t>CC-7732</t>
        </is>
      </c>
      <c r="K138" s="85" t="inlineStr">
        <is>
          <t>GL-6312</t>
        </is>
      </c>
      <c r="L138" s="88" t="inlineStr">
        <is>
          <t>Sent to Supplier</t>
        </is>
      </c>
      <c r="M138" s="85" t="inlineStr"/>
      <c r="N138" s="96" t="inlineStr">
        <is>
          <t>Cancelled</t>
        </is>
      </c>
      <c r="O138" s="89" t="n">
        <v>45939</v>
      </c>
      <c r="P138" s="90" t="n">
        <v>0</v>
      </c>
      <c r="Q138" s="86" t="inlineStr">
        <is>
          <t>Maria Kowalski</t>
        </is>
      </c>
      <c r="R138" s="86" t="inlineStr">
        <is>
          <t>Carlos Navarro</t>
        </is>
      </c>
      <c r="S138" s="86" t="inlineStr"/>
    </row>
    <row r="139" ht="18" customHeight="1">
      <c r="A139" s="115" t="inlineStr">
        <is>
          <t>PO-2025-1138</t>
        </is>
      </c>
      <c r="B139" s="71" t="inlineStr">
        <is>
          <t>EVT-2025-047</t>
        </is>
      </c>
      <c r="C139" s="70" t="inlineStr">
        <is>
          <t>AVIAWORLD Travel</t>
        </is>
      </c>
      <c r="D139" s="70" t="inlineStr">
        <is>
          <t>Travel &amp; Air</t>
        </is>
      </c>
      <c r="E139" s="72" t="n">
        <v>45862</v>
      </c>
      <c r="F139" s="72" t="n">
        <v>45872</v>
      </c>
      <c r="G139" s="91" t="n">
        <v>10</v>
      </c>
      <c r="H139" s="73" t="n">
        <v>4856.42</v>
      </c>
      <c r="I139" s="71" t="inlineStr">
        <is>
          <t>EUR</t>
        </is>
      </c>
      <c r="J139" s="71" t="inlineStr">
        <is>
          <t>CC-1613</t>
        </is>
      </c>
      <c r="K139" s="71" t="inlineStr">
        <is>
          <t>GL-6311</t>
        </is>
      </c>
      <c r="L139" s="69" t="inlineStr">
        <is>
          <t>Approved</t>
        </is>
      </c>
      <c r="M139" s="71" t="inlineStr">
        <is>
          <t>INV-01138</t>
        </is>
      </c>
      <c r="N139" s="95" t="inlineStr">
        <is>
          <t>Invoiced</t>
        </is>
      </c>
      <c r="O139" s="72" t="n">
        <v>45928</v>
      </c>
      <c r="P139" s="91" t="n">
        <v>0</v>
      </c>
      <c r="Q139" s="70" t="inlineStr">
        <is>
          <t>Emma Johansson</t>
        </is>
      </c>
      <c r="R139" s="70" t="inlineStr">
        <is>
          <t>Sophie Müller</t>
        </is>
      </c>
      <c r="S139" s="70" t="inlineStr"/>
    </row>
    <row r="140" ht="18" customHeight="1">
      <c r="A140" s="114" t="inlineStr">
        <is>
          <t>PO-2025-1139</t>
        </is>
      </c>
      <c r="B140" s="85" t="inlineStr">
        <is>
          <t>EVT-2025-048</t>
        </is>
      </c>
      <c r="C140" s="86" t="inlineStr">
        <is>
          <t>TechEvent Systems</t>
        </is>
      </c>
      <c r="D140" s="86" t="inlineStr">
        <is>
          <t>Registration &amp; Tech</t>
        </is>
      </c>
      <c r="E140" s="89" t="n">
        <v>45630</v>
      </c>
      <c r="F140" s="89" t="n">
        <v>45639</v>
      </c>
      <c r="G140" s="90" t="n">
        <v>9</v>
      </c>
      <c r="H140" s="87" t="n">
        <v>23310.9</v>
      </c>
      <c r="I140" s="85" t="inlineStr">
        <is>
          <t>EUR</t>
        </is>
      </c>
      <c r="J140" s="85" t="inlineStr">
        <is>
          <t>CC-1635</t>
        </is>
      </c>
      <c r="K140" s="85" t="inlineStr">
        <is>
          <t>GL-6315</t>
        </is>
      </c>
      <c r="L140" s="69" t="inlineStr">
        <is>
          <t>Approved</t>
        </is>
      </c>
      <c r="M140" s="85" t="inlineStr">
        <is>
          <t>INV-01139</t>
        </is>
      </c>
      <c r="N140" s="69" t="inlineStr">
        <is>
          <t>Paid</t>
        </is>
      </c>
      <c r="O140" s="89" t="n">
        <v>45699</v>
      </c>
      <c r="P140" s="90" t="n">
        <v>0</v>
      </c>
      <c r="Q140" s="86" t="inlineStr">
        <is>
          <t>Thomas Dubois</t>
        </is>
      </c>
      <c r="R140" s="86" t="inlineStr">
        <is>
          <t>James Wilson</t>
        </is>
      </c>
      <c r="S140" s="86" t="inlineStr"/>
    </row>
    <row r="141" ht="18" customHeight="1">
      <c r="A141" s="115" t="inlineStr">
        <is>
          <t>PO-2025-1140</t>
        </is>
      </c>
      <c r="B141" s="71" t="inlineStr">
        <is>
          <t>EVT-2025-049</t>
        </is>
      </c>
      <c r="C141" s="70" t="inlineStr">
        <is>
          <t>HealthMarketing Group</t>
        </is>
      </c>
      <c r="D141" s="70" t="inlineStr">
        <is>
          <t>Marketing Agency</t>
        </is>
      </c>
      <c r="E141" s="72" t="n">
        <v>45953</v>
      </c>
      <c r="F141" s="72" t="n">
        <v>45963</v>
      </c>
      <c r="G141" s="91" t="n">
        <v>10</v>
      </c>
      <c r="H141" s="73" t="n">
        <v>40806.82</v>
      </c>
      <c r="I141" s="71" t="inlineStr">
        <is>
          <t>EUR</t>
        </is>
      </c>
      <c r="J141" s="71" t="inlineStr">
        <is>
          <t>CC-5400</t>
        </is>
      </c>
      <c r="K141" s="71" t="inlineStr">
        <is>
          <t>GL-6312</t>
        </is>
      </c>
      <c r="L141" s="96" t="inlineStr">
        <is>
          <t>Draft</t>
        </is>
      </c>
      <c r="M141" s="71" t="inlineStr">
        <is>
          <t>INV-01140</t>
        </is>
      </c>
      <c r="N141" s="96" t="inlineStr">
        <is>
          <t>Pending</t>
        </is>
      </c>
      <c r="O141" s="72" t="n">
        <v>45986</v>
      </c>
      <c r="P141" s="91" t="n">
        <v>0</v>
      </c>
      <c r="Q141" s="70" t="inlineStr">
        <is>
          <t>Lucas Dupont</t>
        </is>
      </c>
      <c r="R141" s="70" t="inlineStr">
        <is>
          <t>Isabel Ferreira</t>
        </is>
      </c>
      <c r="S141" s="70" t="inlineStr"/>
    </row>
    <row r="142" ht="18" customHeight="1">
      <c r="A142" s="114" t="inlineStr">
        <is>
          <t>PO-2025-1141</t>
        </is>
      </c>
      <c r="B142" s="85" t="inlineStr">
        <is>
          <t>EVT-2025-049</t>
        </is>
      </c>
      <c r="C142" s="86" t="inlineStr">
        <is>
          <t>MedComm Agency</t>
        </is>
      </c>
      <c r="D142" s="86" t="inlineStr">
        <is>
          <t>Medical Communication</t>
        </is>
      </c>
      <c r="E142" s="89" t="n">
        <v>45948</v>
      </c>
      <c r="F142" s="89" t="n">
        <v>45955</v>
      </c>
      <c r="G142" s="90" t="n">
        <v>7</v>
      </c>
      <c r="H142" s="87" t="n">
        <v>35587.36</v>
      </c>
      <c r="I142" s="85" t="inlineStr">
        <is>
          <t>EUR</t>
        </is>
      </c>
      <c r="J142" s="85" t="inlineStr">
        <is>
          <t>CC-9054</t>
        </is>
      </c>
      <c r="K142" s="85" t="inlineStr">
        <is>
          <t>GL-6330</t>
        </is>
      </c>
      <c r="L142" s="93" t="inlineStr">
        <is>
          <t>Cancelled</t>
        </is>
      </c>
      <c r="M142" s="85" t="inlineStr">
        <is>
          <t>INV-01141</t>
        </is>
      </c>
      <c r="N142" s="95" t="inlineStr">
        <is>
          <t>Invoiced</t>
        </is>
      </c>
      <c r="O142" s="89" t="n">
        <v>45997</v>
      </c>
      <c r="P142" s="90" t="n">
        <v>0</v>
      </c>
      <c r="Q142" s="86" t="inlineStr">
        <is>
          <t>Maria Kowalski</t>
        </is>
      </c>
      <c r="R142" s="86" t="inlineStr">
        <is>
          <t>Marco Bianchi</t>
        </is>
      </c>
      <c r="S142" s="86" t="inlineStr"/>
    </row>
    <row r="143" ht="18" customHeight="1">
      <c r="A143" s="115" t="inlineStr">
        <is>
          <t>PO-2025-1142</t>
        </is>
      </c>
      <c r="B143" s="71" t="inlineStr">
        <is>
          <t>EVT-2025-049</t>
        </is>
      </c>
      <c r="C143" s="70" t="inlineStr">
        <is>
          <t>PharmaLogix</t>
        </is>
      </c>
      <c r="D143" s="70" t="inlineStr">
        <is>
          <t>Logistics &amp; Transport</t>
        </is>
      </c>
      <c r="E143" s="72" t="n">
        <v>45908</v>
      </c>
      <c r="F143" s="72" t="n">
        <v>45914</v>
      </c>
      <c r="G143" s="91" t="n">
        <v>6</v>
      </c>
      <c r="H143" s="73" t="n">
        <v>53551.7</v>
      </c>
      <c r="I143" s="71" t="inlineStr">
        <is>
          <t>EUR</t>
        </is>
      </c>
      <c r="J143" s="71" t="inlineStr">
        <is>
          <t>CC-3201</t>
        </is>
      </c>
      <c r="K143" s="71" t="inlineStr">
        <is>
          <t>GL-6312</t>
        </is>
      </c>
      <c r="L143" s="93" t="inlineStr">
        <is>
          <t>Cancelled</t>
        </is>
      </c>
      <c r="M143" s="71" t="inlineStr"/>
      <c r="N143" s="76" t="inlineStr">
        <is>
          <t>Disputed</t>
        </is>
      </c>
      <c r="O143" s="72" t="n">
        <v>45993</v>
      </c>
      <c r="P143" s="91" t="n">
        <v>0</v>
      </c>
      <c r="Q143" s="70" t="inlineStr">
        <is>
          <t>Carlos Navarro</t>
        </is>
      </c>
      <c r="R143" s="70" t="inlineStr">
        <is>
          <t>Lucas Dupont</t>
        </is>
      </c>
      <c r="S143" s="70" t="inlineStr"/>
    </row>
    <row r="144" ht="18" customHeight="1">
      <c r="A144" s="114" t="inlineStr">
        <is>
          <t>PO-2025-1143</t>
        </is>
      </c>
      <c r="B144" s="85" t="inlineStr">
        <is>
          <t>EVT-2025-049</t>
        </is>
      </c>
      <c r="C144" s="86" t="inlineStr">
        <is>
          <t>MedAudio AV Solutions</t>
        </is>
      </c>
      <c r="D144" s="86" t="inlineStr">
        <is>
          <t>AV &amp; Technology</t>
        </is>
      </c>
      <c r="E144" s="89" t="n">
        <v>45941</v>
      </c>
      <c r="F144" s="89" t="n">
        <v>45950</v>
      </c>
      <c r="G144" s="90" t="n">
        <v>9</v>
      </c>
      <c r="H144" s="87" t="n">
        <v>36624.85</v>
      </c>
      <c r="I144" s="85" t="inlineStr">
        <is>
          <t>EUR</t>
        </is>
      </c>
      <c r="J144" s="85" t="inlineStr">
        <is>
          <t>CC-2462</t>
        </is>
      </c>
      <c r="K144" s="85" t="inlineStr">
        <is>
          <t>GL-6311</t>
        </is>
      </c>
      <c r="L144" s="88" t="inlineStr">
        <is>
          <t>Sent to Supplier</t>
        </is>
      </c>
      <c r="M144" s="85" t="inlineStr"/>
      <c r="N144" s="96" t="inlineStr">
        <is>
          <t>Cancelled</t>
        </is>
      </c>
      <c r="O144" s="89" t="n">
        <v>45988</v>
      </c>
      <c r="P144" s="90" t="n">
        <v>0</v>
      </c>
      <c r="Q144" s="86" t="inlineStr">
        <is>
          <t>James Wilson</t>
        </is>
      </c>
      <c r="R144" s="86" t="inlineStr">
        <is>
          <t>Emma Johansson</t>
        </is>
      </c>
      <c r="S144" s="86" t="inlineStr"/>
    </row>
    <row r="145" ht="18" customHeight="1">
      <c r="A145" s="115" t="inlineStr">
        <is>
          <t>PO-2025-1144</t>
        </is>
      </c>
      <c r="B145" s="71" t="inlineStr">
        <is>
          <t>EVT-2025-050</t>
        </is>
      </c>
      <c r="C145" s="70" t="inlineStr">
        <is>
          <t>MedComm Agency</t>
        </is>
      </c>
      <c r="D145" s="70" t="inlineStr">
        <is>
          <t>Medical Communication</t>
        </is>
      </c>
      <c r="E145" s="72" t="n">
        <v>45711</v>
      </c>
      <c r="F145" s="72" t="n">
        <v>45721</v>
      </c>
      <c r="G145" s="91" t="n">
        <v>10</v>
      </c>
      <c r="H145" s="73" t="n">
        <v>33684.4</v>
      </c>
      <c r="I145" s="71" t="inlineStr">
        <is>
          <t>EUR</t>
        </is>
      </c>
      <c r="J145" s="71" t="inlineStr">
        <is>
          <t>CC-9462</t>
        </is>
      </c>
      <c r="K145" s="71" t="inlineStr">
        <is>
          <t>GL-6330</t>
        </is>
      </c>
      <c r="L145" s="69" t="inlineStr">
        <is>
          <t>Approved</t>
        </is>
      </c>
      <c r="M145" s="71" t="inlineStr">
        <is>
          <t>INV-01144</t>
        </is>
      </c>
      <c r="N145" s="76" t="inlineStr">
        <is>
          <t>Disputed</t>
        </is>
      </c>
      <c r="O145" s="72" t="n">
        <v>45788</v>
      </c>
      <c r="P145" s="91" t="n">
        <v>0</v>
      </c>
      <c r="Q145" s="70" t="inlineStr">
        <is>
          <t>Ana García</t>
        </is>
      </c>
      <c r="R145" s="70" t="inlineStr">
        <is>
          <t>Lena Schneider</t>
        </is>
      </c>
      <c r="S145" s="70" t="inlineStr"/>
    </row>
    <row r="146" ht="18" customHeight="1">
      <c r="A146" s="114" t="inlineStr">
        <is>
          <t>PO-2025-1145</t>
        </is>
      </c>
      <c r="B146" s="85" t="inlineStr">
        <is>
          <t>EVT-2025-050</t>
        </is>
      </c>
      <c r="C146" s="86" t="inlineStr">
        <is>
          <t>Catering Excellence</t>
        </is>
      </c>
      <c r="D146" s="86" t="inlineStr">
        <is>
          <t>F&amp;B / Catering</t>
        </is>
      </c>
      <c r="E146" s="89" t="n">
        <v>45705</v>
      </c>
      <c r="F146" s="89" t="n">
        <v>45710</v>
      </c>
      <c r="G146" s="90" t="n">
        <v>5</v>
      </c>
      <c r="H146" s="87" t="n">
        <v>13136.8</v>
      </c>
      <c r="I146" s="85" t="inlineStr">
        <is>
          <t>EUR</t>
        </is>
      </c>
      <c r="J146" s="85" t="inlineStr">
        <is>
          <t>CC-2075</t>
        </is>
      </c>
      <c r="K146" s="85" t="inlineStr">
        <is>
          <t>GL-6312</t>
        </is>
      </c>
      <c r="L146" s="93" t="inlineStr">
        <is>
          <t>Cancelled</t>
        </is>
      </c>
      <c r="M146" s="85" t="inlineStr">
        <is>
          <t>INV-01145</t>
        </is>
      </c>
      <c r="N146" s="69" t="inlineStr">
        <is>
          <t>Paid</t>
        </is>
      </c>
      <c r="O146" s="89" t="n">
        <v>45785</v>
      </c>
      <c r="P146" s="90" t="n">
        <v>0</v>
      </c>
      <c r="Q146" s="86" t="inlineStr">
        <is>
          <t>Lena Schneider</t>
        </is>
      </c>
      <c r="R146" s="86" t="inlineStr">
        <is>
          <t>Emma Johansson</t>
        </is>
      </c>
      <c r="S146" s="86" t="inlineStr"/>
    </row>
    <row r="147" ht="18" customHeight="1">
      <c r="A147" s="115" t="inlineStr">
        <is>
          <t>PO-2025-1146</t>
        </is>
      </c>
      <c r="B147" s="71" t="inlineStr">
        <is>
          <t>EVT-2025-050</t>
        </is>
      </c>
      <c r="C147" s="70" t="inlineStr">
        <is>
          <t>Compliance Expert Ltd</t>
        </is>
      </c>
      <c r="D147" s="70" t="inlineStr">
        <is>
          <t>Compliance &amp; Legal</t>
        </is>
      </c>
      <c r="E147" s="72" t="n">
        <v>45746</v>
      </c>
      <c r="F147" s="72" t="n">
        <v>45749</v>
      </c>
      <c r="G147" s="91" t="n">
        <v>3</v>
      </c>
      <c r="H147" s="73" t="n">
        <v>20407.64</v>
      </c>
      <c r="I147" s="71" t="inlineStr">
        <is>
          <t>EUR</t>
        </is>
      </c>
      <c r="J147" s="71" t="inlineStr">
        <is>
          <t>CC-3846</t>
        </is>
      </c>
      <c r="K147" s="71" t="inlineStr">
        <is>
          <t>GL-6311</t>
        </is>
      </c>
      <c r="L147" s="76" t="inlineStr">
        <is>
          <t>Pending Approval</t>
        </is>
      </c>
      <c r="M147" s="71" t="inlineStr"/>
      <c r="N147" s="69" t="inlineStr">
        <is>
          <t>Paid</t>
        </is>
      </c>
      <c r="O147" s="72" t="n">
        <v>45784</v>
      </c>
      <c r="P147" s="91" t="n">
        <v>0</v>
      </c>
      <c r="Q147" s="70" t="inlineStr">
        <is>
          <t>Ana García</t>
        </is>
      </c>
      <c r="R147" s="70" t="inlineStr">
        <is>
          <t>James Wilson</t>
        </is>
      </c>
      <c r="S147" s="70" t="inlineStr"/>
    </row>
    <row r="148" ht="18" customHeight="1">
      <c r="A148" s="114" t="inlineStr">
        <is>
          <t>PO-2025-1147</t>
        </is>
      </c>
      <c r="B148" s="85" t="inlineStr">
        <is>
          <t>EVT-2025-050</t>
        </is>
      </c>
      <c r="C148" s="86" t="inlineStr">
        <is>
          <t>AVIAWORLD Travel</t>
        </is>
      </c>
      <c r="D148" s="86" t="inlineStr">
        <is>
          <t>Travel &amp; Air</t>
        </is>
      </c>
      <c r="E148" s="89" t="n">
        <v>45758</v>
      </c>
      <c r="F148" s="89" t="n">
        <v>45768</v>
      </c>
      <c r="G148" s="90" t="n">
        <v>10</v>
      </c>
      <c r="H148" s="87" t="n">
        <v>13968.18</v>
      </c>
      <c r="I148" s="85" t="inlineStr">
        <is>
          <t>EUR</t>
        </is>
      </c>
      <c r="J148" s="85" t="inlineStr">
        <is>
          <t>CC-1828</t>
        </is>
      </c>
      <c r="K148" s="85" t="inlineStr">
        <is>
          <t>GL-6312</t>
        </is>
      </c>
      <c r="L148" s="93" t="inlineStr">
        <is>
          <t>Cancelled</t>
        </is>
      </c>
      <c r="M148" s="85" t="inlineStr"/>
      <c r="N148" s="95" t="inlineStr">
        <is>
          <t>Invoiced</t>
        </is>
      </c>
      <c r="O148" s="89" t="n">
        <v>45790</v>
      </c>
      <c r="P148" s="90" t="n">
        <v>0</v>
      </c>
      <c r="Q148" s="86" t="inlineStr">
        <is>
          <t>James Wilson</t>
        </is>
      </c>
      <c r="R148" s="86" t="inlineStr">
        <is>
          <t>Isabel Ferreira</t>
        </is>
      </c>
      <c r="S148" s="86" t="inlineStr"/>
    </row>
    <row r="149" ht="18" customHeight="1">
      <c r="A149" s="115" t="inlineStr">
        <is>
          <t>PO-2025-1148</t>
        </is>
      </c>
      <c r="B149" s="71" t="inlineStr">
        <is>
          <t>EVT-2025-050</t>
        </is>
      </c>
      <c r="C149" s="70" t="inlineStr">
        <is>
          <t>InterCongress PCO</t>
        </is>
      </c>
      <c r="D149" s="70" t="inlineStr">
        <is>
          <t>PCO / Event Agency</t>
        </is>
      </c>
      <c r="E149" s="72" t="n">
        <v>45735</v>
      </c>
      <c r="F149" s="72" t="n">
        <v>45745</v>
      </c>
      <c r="G149" s="91" t="n">
        <v>10</v>
      </c>
      <c r="H149" s="73" t="n">
        <v>46765.9</v>
      </c>
      <c r="I149" s="71" t="inlineStr">
        <is>
          <t>EUR</t>
        </is>
      </c>
      <c r="J149" s="71" t="inlineStr">
        <is>
          <t>CC-9275</t>
        </is>
      </c>
      <c r="K149" s="71" t="inlineStr">
        <is>
          <t>GL-6315</t>
        </is>
      </c>
      <c r="L149" s="93" t="inlineStr">
        <is>
          <t>Cancelled</t>
        </is>
      </c>
      <c r="M149" s="71" t="inlineStr">
        <is>
          <t>INV-01148</t>
        </is>
      </c>
      <c r="N149" s="95" t="inlineStr">
        <is>
          <t>Invoiced</t>
        </is>
      </c>
      <c r="O149" s="72" t="n">
        <v>45788</v>
      </c>
      <c r="P149" s="91" t="n">
        <v>0</v>
      </c>
      <c r="Q149" s="70" t="inlineStr">
        <is>
          <t>Marco Bianchi</t>
        </is>
      </c>
      <c r="R149" s="70" t="inlineStr">
        <is>
          <t>Maria Kowalski</t>
        </is>
      </c>
      <c r="S149" s="70" t="inlineStr"/>
    </row>
    <row r="151" ht="24" customHeight="1">
      <c r="A151" s="81" t="inlineStr">
        <is>
          <t>TOTAL PO VALUE</t>
        </is>
      </c>
      <c r="H151" s="117">
        <f>SUM(H2:H149)</f>
        <v/>
      </c>
    </row>
  </sheetData>
  <mergeCells count="1">
    <mergeCell ref="A151:G151"/>
  </mergeCells>
  <conditionalFormatting sqref="A2:S149">
    <cfRule type="expression" priority="1" dxfId="1">
      <formula>$N2="Overdue"</formula>
    </cfRule>
  </conditionalFormatting>
  <dataValidations count="2">
    <dataValidation sqref="L2:L149" showDropDown="0" showInputMessage="0" showErrorMessage="0" allowBlank="0" type="list">
      <formula1>"Draft,Pending Approval,Approved,Sent to Supplier,Closed,Cancelled"</formula1>
    </dataValidation>
    <dataValidation sqref="N2:N149" showDropDown="0" showInputMessage="0" showErrorMessage="0" allowBlank="0" type="list">
      <formula1>"Pending,Approved,Invoiced,Paid,Overdue,Disputed,Cancelled"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M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18" customWidth="1" min="9" max="9"/>
    <col width="14" customWidth="1" min="10" max="10"/>
  </cols>
  <sheetData>
    <row r="1" ht="36" customHeight="1">
      <c r="A1" s="118" t="inlineStr">
        <is>
          <t>PHARMACEUTICAL EVENTS – EXECUTIVE FINANCIAL REPORTING  |  FY 2025</t>
        </is>
      </c>
    </row>
    <row r="2" ht="18" customHeight="1">
      <c r="A2" s="2" t="inlineStr">
        <is>
          <t>Report Date: 24 June 2026  |  Confidential  |  Finance &amp; PMO</t>
        </is>
      </c>
    </row>
    <row r="4" ht="22" customHeight="1">
      <c r="A4" s="3" t="inlineStr">
        <is>
          <t>1. MONTHLY FINANCIAL SUMMARY</t>
        </is>
      </c>
    </row>
    <row r="5" ht="22" customHeight="1">
      <c r="A5" s="17" t="inlineStr">
        <is>
          <t>Month</t>
        </is>
      </c>
      <c r="B5" s="17" t="inlineStr">
        <is>
          <t># Events</t>
        </is>
      </c>
      <c r="C5" s="17" t="inlineStr">
        <is>
          <t>Budget (€)</t>
        </is>
      </c>
      <c r="D5" s="17" t="inlineStr">
        <is>
          <t>Committed (€)</t>
        </is>
      </c>
      <c r="E5" s="17" t="inlineStr">
        <is>
          <t>Actual (€)</t>
        </is>
      </c>
      <c r="F5" s="17" t="inlineStr">
        <is>
          <t>Forecast (€)</t>
        </is>
      </c>
      <c r="G5" s="17" t="inlineStr">
        <is>
          <t>Variance (€)</t>
        </is>
      </c>
      <c r="H5" s="17" t="inlineStr">
        <is>
          <t>Var %</t>
        </is>
      </c>
      <c r="I5" s="17" t="inlineStr">
        <is>
          <t>Budget Absorption %</t>
        </is>
      </c>
      <c r="J5" s="17" t="inlineStr">
        <is>
          <t>Status</t>
        </is>
      </c>
    </row>
    <row r="6" ht="18" customHeight="1">
      <c r="A6" s="23" t="inlineStr">
        <is>
          <t>Jan</t>
        </is>
      </c>
      <c r="B6" s="23" t="n">
        <v>4</v>
      </c>
      <c r="C6" s="24" t="n">
        <v>779049.36</v>
      </c>
      <c r="D6" s="24" t="n">
        <v>604264.3100000001</v>
      </c>
      <c r="E6" s="24" t="n">
        <v>349180.0700000001</v>
      </c>
      <c r="F6" s="24" t="n">
        <v>818276.0799999998</v>
      </c>
      <c r="G6" s="24" t="n">
        <v>-39226.71999999986</v>
      </c>
      <c r="H6" s="119" t="n">
        <v>-0.0503520341766276</v>
      </c>
      <c r="I6" s="38" t="n">
        <v>0.7756431633548869</v>
      </c>
      <c r="J6" s="60" t="inlineStr">
        <is>
          <t>At Risk</t>
        </is>
      </c>
    </row>
    <row r="7" ht="18" customHeight="1">
      <c r="A7" s="18" t="inlineStr">
        <is>
          <t>Feb</t>
        </is>
      </c>
      <c r="B7" s="18" t="n">
        <v>3</v>
      </c>
      <c r="C7" s="19" t="n">
        <v>784866.7</v>
      </c>
      <c r="D7" s="19" t="n">
        <v>688372.02</v>
      </c>
      <c r="E7" s="19" t="n">
        <v>406898.29</v>
      </c>
      <c r="F7" s="19" t="n">
        <v>817020.42</v>
      </c>
      <c r="G7" s="19" t="n">
        <v>-32153.72000000009</v>
      </c>
      <c r="H7" s="29" t="n">
        <v>-0.04096710944673802</v>
      </c>
      <c r="I7" s="34" t="n">
        <v>0.8770559637706633</v>
      </c>
      <c r="J7" s="55" t="inlineStr">
        <is>
          <t>On Track</t>
        </is>
      </c>
    </row>
    <row r="8" ht="18" customHeight="1">
      <c r="A8" s="23" t="inlineStr">
        <is>
          <t>Mar</t>
        </is>
      </c>
      <c r="B8" s="23" t="n">
        <v>5</v>
      </c>
      <c r="C8" s="24" t="n">
        <v>964975.09</v>
      </c>
      <c r="D8" s="24" t="n">
        <v>791629.99</v>
      </c>
      <c r="E8" s="24" t="n">
        <v>502148.41</v>
      </c>
      <c r="F8" s="24" t="n">
        <v>1020766.47</v>
      </c>
      <c r="G8" s="24" t="n">
        <v>-55791.38000000012</v>
      </c>
      <c r="H8" s="119" t="n">
        <v>-0.05781639399624307</v>
      </c>
      <c r="I8" s="38" t="n">
        <v>0.8203631349696291</v>
      </c>
      <c r="J8" s="60" t="inlineStr">
        <is>
          <t>At Risk</t>
        </is>
      </c>
    </row>
    <row r="9" ht="18" customHeight="1">
      <c r="A9" s="18" t="inlineStr">
        <is>
          <t>Apr</t>
        </is>
      </c>
      <c r="B9" s="18" t="n">
        <v>4</v>
      </c>
      <c r="C9" s="19" t="n">
        <v>943730.4399999999</v>
      </c>
      <c r="D9" s="19" t="n">
        <v>732219.7000000001</v>
      </c>
      <c r="E9" s="19" t="n">
        <v>571497.9299999999</v>
      </c>
      <c r="F9" s="19" t="n">
        <v>940161.4500000001</v>
      </c>
      <c r="G9" s="19" t="n">
        <v>3568.989999999874</v>
      </c>
      <c r="H9" s="29" t="n">
        <v>0.003781789638998901</v>
      </c>
      <c r="I9" s="34" t="n">
        <v>0.775878014488968</v>
      </c>
      <c r="J9" s="55" t="inlineStr">
        <is>
          <t>On Track</t>
        </is>
      </c>
    </row>
    <row r="10" ht="18" customHeight="1">
      <c r="A10" s="23" t="inlineStr">
        <is>
          <t>May</t>
        </is>
      </c>
      <c r="B10" s="23" t="n">
        <v>6</v>
      </c>
      <c r="C10" s="24" t="n">
        <v>1307942.57</v>
      </c>
      <c r="D10" s="24" t="n">
        <v>941070.98</v>
      </c>
      <c r="E10" s="24" t="n">
        <v>359649.6</v>
      </c>
      <c r="F10" s="24" t="n">
        <v>1374120.41</v>
      </c>
      <c r="G10" s="24" t="n">
        <v>-66177.83999999985</v>
      </c>
      <c r="H10" s="119" t="n">
        <v>-0.0505969004434192</v>
      </c>
      <c r="I10" s="38" t="n">
        <v>0.7195048174018833</v>
      </c>
      <c r="J10" s="60" t="inlineStr">
        <is>
          <t>At Risk</t>
        </is>
      </c>
    </row>
    <row r="11" ht="18" customHeight="1">
      <c r="A11" s="18" t="inlineStr">
        <is>
          <t>Jun</t>
        </is>
      </c>
      <c r="B11" s="18" t="n">
        <v>5</v>
      </c>
      <c r="C11" s="19" t="n">
        <v>1056007.94</v>
      </c>
      <c r="D11" s="19" t="n">
        <v>681630.7899999999</v>
      </c>
      <c r="E11" s="19" t="n">
        <v>521865.62</v>
      </c>
      <c r="F11" s="19" t="n">
        <v>1088260.2</v>
      </c>
      <c r="G11" s="19" t="n">
        <v>-32252.26000000024</v>
      </c>
      <c r="H11" s="29" t="n">
        <v>-0.03054168323772286</v>
      </c>
      <c r="I11" s="34" t="n">
        <v>0.6454788493351669</v>
      </c>
      <c r="J11" s="55" t="inlineStr">
        <is>
          <t>On Track</t>
        </is>
      </c>
    </row>
    <row r="12" ht="18" customHeight="1">
      <c r="A12" s="23" t="inlineStr">
        <is>
          <t>Jul</t>
        </is>
      </c>
      <c r="B12" s="23" t="n">
        <v>3</v>
      </c>
      <c r="C12" s="24" t="n">
        <v>697057.55</v>
      </c>
      <c r="D12" s="24" t="n">
        <v>453742.63</v>
      </c>
      <c r="E12" s="24" t="n">
        <v>392339.7</v>
      </c>
      <c r="F12" s="24" t="n">
        <v>734732.85</v>
      </c>
      <c r="G12" s="24" t="n">
        <v>-37675.29999999993</v>
      </c>
      <c r="H12" s="119" t="n">
        <v>-0.05404905233434446</v>
      </c>
      <c r="I12" s="38" t="n">
        <v>0.6509399833629231</v>
      </c>
      <c r="J12" s="60" t="inlineStr">
        <is>
          <t>At Risk</t>
        </is>
      </c>
    </row>
    <row r="13" ht="18" customHeight="1">
      <c r="A13" s="18" t="inlineStr">
        <is>
          <t>Aug</t>
        </is>
      </c>
      <c r="B13" s="18" t="n">
        <v>2</v>
      </c>
      <c r="C13" s="19" t="n">
        <v>571084.99</v>
      </c>
      <c r="D13" s="19" t="n">
        <v>389597.03</v>
      </c>
      <c r="E13" s="19" t="n">
        <v>174848.53</v>
      </c>
      <c r="F13" s="19" t="n">
        <v>600929.87</v>
      </c>
      <c r="G13" s="19" t="n">
        <v>-29844.88</v>
      </c>
      <c r="H13" s="120" t="n">
        <v>-0.05225996221683222</v>
      </c>
      <c r="I13" s="34" t="n">
        <v>0.6822049901889385</v>
      </c>
      <c r="J13" s="60" t="inlineStr">
        <is>
          <t>At Risk</t>
        </is>
      </c>
    </row>
    <row r="14" ht="18" customHeight="1">
      <c r="A14" s="23" t="inlineStr">
        <is>
          <t>Sep</t>
        </is>
      </c>
      <c r="B14" s="23" t="n">
        <v>4</v>
      </c>
      <c r="C14" s="24" t="n">
        <v>1337949.49</v>
      </c>
      <c r="D14" s="24" t="n">
        <v>901097.73</v>
      </c>
      <c r="E14" s="24" t="n">
        <v>233907.77</v>
      </c>
      <c r="F14" s="24" t="n">
        <v>1342940.76</v>
      </c>
      <c r="G14" s="24" t="n">
        <v>-4991.270000000019</v>
      </c>
      <c r="H14" s="28" t="n">
        <v>-0.003730536942766067</v>
      </c>
      <c r="I14" s="38" t="n">
        <v>0.6734915904785015</v>
      </c>
      <c r="J14" s="55" t="inlineStr">
        <is>
          <t>On Track</t>
        </is>
      </c>
    </row>
    <row r="15" ht="18" customHeight="1">
      <c r="A15" s="18" t="inlineStr">
        <is>
          <t>Oct</t>
        </is>
      </c>
      <c r="B15" s="18" t="n">
        <v>4</v>
      </c>
      <c r="C15" s="19" t="n">
        <v>1136074.69</v>
      </c>
      <c r="D15" s="19" t="n">
        <v>838570.9600000001</v>
      </c>
      <c r="E15" s="19" t="n">
        <v>243054.32</v>
      </c>
      <c r="F15" s="19" t="n">
        <v>1177096.24</v>
      </c>
      <c r="G15" s="19" t="n">
        <v>-41021.55000000005</v>
      </c>
      <c r="H15" s="29" t="n">
        <v>-0.03610814531921316</v>
      </c>
      <c r="I15" s="34" t="n">
        <v>0.7381301312152285</v>
      </c>
      <c r="J15" s="55" t="inlineStr">
        <is>
          <t>On Track</t>
        </is>
      </c>
    </row>
    <row r="16" ht="18" customHeight="1">
      <c r="A16" s="23" t="inlineStr">
        <is>
          <t>Nov</t>
        </is>
      </c>
      <c r="B16" s="23" t="n">
        <v>3</v>
      </c>
      <c r="C16" s="24" t="n">
        <v>970256.04</v>
      </c>
      <c r="D16" s="24" t="n">
        <v>724964.1899999999</v>
      </c>
      <c r="E16" s="24" t="n">
        <v>207879.18</v>
      </c>
      <c r="F16" s="24" t="n">
        <v>982734.6100000001</v>
      </c>
      <c r="G16" s="24" t="n">
        <v>-12478.57000000007</v>
      </c>
      <c r="H16" s="28" t="n">
        <v>-0.01286111035186142</v>
      </c>
      <c r="I16" s="38" t="n">
        <v>0.747188535925012</v>
      </c>
      <c r="J16" s="55" t="inlineStr">
        <is>
          <t>On Track</t>
        </is>
      </c>
    </row>
    <row r="17" ht="18" customHeight="1">
      <c r="A17" s="18" t="inlineStr">
        <is>
          <t>Dec</t>
        </is>
      </c>
      <c r="B17" s="18" t="n">
        <v>7</v>
      </c>
      <c r="C17" s="19" t="n">
        <v>2034087.22</v>
      </c>
      <c r="D17" s="19" t="n">
        <v>1356872.3</v>
      </c>
      <c r="E17" s="19" t="n">
        <v>1158614.48</v>
      </c>
      <c r="F17" s="19" t="n">
        <v>2051651.84</v>
      </c>
      <c r="G17" s="19" t="n">
        <v>-17564.62000000034</v>
      </c>
      <c r="H17" s="29" t="n">
        <v>-0.008635136107880539</v>
      </c>
      <c r="I17" s="34" t="n">
        <v>0.6670669215452816</v>
      </c>
      <c r="J17" s="55" t="inlineStr">
        <is>
          <t>On Track</t>
        </is>
      </c>
    </row>
    <row r="18" ht="22" customHeight="1">
      <c r="A18" s="121" t="inlineStr">
        <is>
          <t>FULL YEAR TOTAL</t>
        </is>
      </c>
      <c r="C18" s="122">
        <f>SUM(C6:C17)</f>
        <v/>
      </c>
      <c r="D18" s="122">
        <f>SUM(D6:D17)</f>
        <v/>
      </c>
      <c r="E18" s="122">
        <f>SUM(E6:E17)</f>
        <v/>
      </c>
      <c r="F18" s="122">
        <f>SUM(F6:F17)</f>
        <v/>
      </c>
      <c r="G18" s="122">
        <f>SUM(G6:G17)</f>
        <v/>
      </c>
    </row>
    <row r="21" ht="22" customHeight="1">
      <c r="A21" s="3" t="inlineStr">
        <is>
          <t>2. QUARTERLY FINANCIAL SUMMARY</t>
        </is>
      </c>
    </row>
    <row r="22" ht="22" customHeight="1">
      <c r="A22" s="17" t="inlineStr">
        <is>
          <t>Quarter</t>
        </is>
      </c>
      <c r="B22" s="17" t="inlineStr">
        <is>
          <t># Events</t>
        </is>
      </c>
      <c r="C22" s="17" t="inlineStr">
        <is>
          <t>Budget (€)</t>
        </is>
      </c>
      <c r="D22" s="17" t="inlineStr">
        <is>
          <t>Committed (€)</t>
        </is>
      </c>
      <c r="E22" s="17" t="inlineStr">
        <is>
          <t>Actual (€)</t>
        </is>
      </c>
      <c r="F22" s="17" t="inlineStr">
        <is>
          <t>Forecast (€)</t>
        </is>
      </c>
      <c r="G22" s="17" t="inlineStr">
        <is>
          <t>Variance (€)</t>
        </is>
      </c>
      <c r="H22" s="17" t="inlineStr">
        <is>
          <t>Var %</t>
        </is>
      </c>
      <c r="I22" s="17" t="inlineStr">
        <is>
          <t>Forecast Accuracy %</t>
        </is>
      </c>
      <c r="J22" s="17" t="inlineStr">
        <is>
          <t>Status</t>
        </is>
      </c>
    </row>
    <row r="23" ht="20" customHeight="1">
      <c r="A23" s="23" t="inlineStr">
        <is>
          <t>Q1 2025</t>
        </is>
      </c>
      <c r="B23" s="23" t="n">
        <v>12</v>
      </c>
      <c r="C23" s="24" t="n">
        <v>2528891.149999999</v>
      </c>
      <c r="D23" s="24" t="n">
        <v>2084266.32</v>
      </c>
      <c r="E23" s="24" t="n">
        <v>1258226.77</v>
      </c>
      <c r="F23" s="24" t="n">
        <v>2656062.97</v>
      </c>
      <c r="G23" s="24" t="n">
        <v>-127171.8200000003</v>
      </c>
      <c r="H23" s="119" t="n">
        <v>-0.05028758157503154</v>
      </c>
      <c r="I23" s="38" t="n">
        <v>0.9497124184249685</v>
      </c>
      <c r="J23" s="60" t="inlineStr">
        <is>
          <t>At Risk</t>
        </is>
      </c>
    </row>
    <row r="24" ht="20" customHeight="1">
      <c r="A24" s="18" t="inlineStr">
        <is>
          <t>Q2 2025</t>
        </is>
      </c>
      <c r="B24" s="18" t="n">
        <v>15</v>
      </c>
      <c r="C24" s="19" t="n">
        <v>3307680.95</v>
      </c>
      <c r="D24" s="19" t="n">
        <v>2354921.47</v>
      </c>
      <c r="E24" s="19" t="n">
        <v>1453013.15</v>
      </c>
      <c r="F24" s="19" t="n">
        <v>3402542.06</v>
      </c>
      <c r="G24" s="19" t="n">
        <v>-94861.10999999987</v>
      </c>
      <c r="H24" s="29" t="n">
        <v>-0.02867903870837358</v>
      </c>
      <c r="I24" s="34" t="n">
        <v>0.9713209612916264</v>
      </c>
      <c r="J24" s="55" t="inlineStr">
        <is>
          <t>On Track</t>
        </is>
      </c>
    </row>
    <row r="25" ht="20" customHeight="1">
      <c r="A25" s="23" t="inlineStr">
        <is>
          <t>Q3 2025</t>
        </is>
      </c>
      <c r="B25" s="23" t="n">
        <v>9</v>
      </c>
      <c r="C25" s="24" t="n">
        <v>2606092.03</v>
      </c>
      <c r="D25" s="24" t="n">
        <v>1744437.39</v>
      </c>
      <c r="E25" s="24" t="n">
        <v>801096</v>
      </c>
      <c r="F25" s="24" t="n">
        <v>2678603.48</v>
      </c>
      <c r="G25" s="24" t="n">
        <v>-72511.45000000019</v>
      </c>
      <c r="H25" s="28" t="n">
        <v>-0.0278238255461762</v>
      </c>
      <c r="I25" s="38" t="n">
        <v>0.9721761744538238</v>
      </c>
      <c r="J25" s="55" t="inlineStr">
        <is>
          <t>On Track</t>
        </is>
      </c>
    </row>
    <row r="26" ht="20" customHeight="1">
      <c r="A26" s="18" t="inlineStr">
        <is>
          <t>Q4 2025</t>
        </is>
      </c>
      <c r="B26" s="18" t="n">
        <v>14</v>
      </c>
      <c r="C26" s="19" t="n">
        <v>4140417.95</v>
      </c>
      <c r="D26" s="19" t="n">
        <v>2920407.45</v>
      </c>
      <c r="E26" s="19" t="n">
        <v>1609547.98</v>
      </c>
      <c r="F26" s="19" t="n">
        <v>4211482.689999999</v>
      </c>
      <c r="G26" s="19" t="n">
        <v>-71064.73999999883</v>
      </c>
      <c r="H26" s="29" t="n">
        <v>-0.01716366339296709</v>
      </c>
      <c r="I26" s="34" t="n">
        <v>0.982836336607033</v>
      </c>
      <c r="J26" s="55" t="inlineStr">
        <is>
          <t>On Track</t>
        </is>
      </c>
    </row>
    <row r="29" ht="22" customHeight="1">
      <c r="A29" s="3" t="inlineStr">
        <is>
          <t>3. BUDGET VS ACTUAL BY BUSINESS UNIT</t>
        </is>
      </c>
    </row>
    <row r="30" ht="22" customHeight="1">
      <c r="A30" s="17" t="inlineStr">
        <is>
          <t>Business Unit</t>
        </is>
      </c>
      <c r="B30" s="17" t="inlineStr">
        <is>
          <t># Events</t>
        </is>
      </c>
      <c r="C30" s="17" t="inlineStr">
        <is>
          <t>Budget (€)</t>
        </is>
      </c>
      <c r="D30" s="17" t="inlineStr">
        <is>
          <t>Committed (€)</t>
        </is>
      </c>
      <c r="E30" s="17" t="inlineStr">
        <is>
          <t>Actual (€)</t>
        </is>
      </c>
      <c r="F30" s="17" t="inlineStr">
        <is>
          <t>Forecast (€)</t>
        </is>
      </c>
      <c r="G30" s="17" t="inlineStr">
        <is>
          <t>Variance (€)</t>
        </is>
      </c>
      <c r="H30" s="17" t="inlineStr">
        <is>
          <t>Var %</t>
        </is>
      </c>
      <c r="I30" s="17" t="inlineStr">
        <is>
          <t>Absorption %</t>
        </is>
      </c>
    </row>
    <row r="31" ht="18" customHeight="1">
      <c r="A31" s="27" t="inlineStr">
        <is>
          <t>BU Cardiovascular</t>
        </is>
      </c>
      <c r="B31" s="23" t="n">
        <v>8</v>
      </c>
      <c r="C31" s="24" t="n">
        <v>1825927.44</v>
      </c>
      <c r="D31" s="24" t="n">
        <v>1432360.88</v>
      </c>
      <c r="E31" s="24" t="n">
        <v>457812.02</v>
      </c>
      <c r="F31" s="24" t="n">
        <v>1867469.34</v>
      </c>
      <c r="G31" s="24" t="n">
        <v>-41541.89999999967</v>
      </c>
      <c r="H31" s="119" t="n">
        <v>-0.02275112312239509</v>
      </c>
      <c r="I31" s="38" t="n">
        <v>0.7844566266006714</v>
      </c>
    </row>
    <row r="32" ht="18" customHeight="1">
      <c r="A32" s="22" t="inlineStr">
        <is>
          <t>BU Immunology</t>
        </is>
      </c>
      <c r="B32" s="18" t="n">
        <v>11</v>
      </c>
      <c r="C32" s="19" t="n">
        <v>2592078.45</v>
      </c>
      <c r="D32" s="19" t="n">
        <v>1965442.61</v>
      </c>
      <c r="E32" s="19" t="n">
        <v>1269582.03</v>
      </c>
      <c r="F32" s="19" t="n">
        <v>2654078.56</v>
      </c>
      <c r="G32" s="19" t="n">
        <v>-62000.10999999987</v>
      </c>
      <c r="H32" s="120" t="n">
        <v>-0.02391907158519831</v>
      </c>
      <c r="I32" s="34" t="n">
        <v>0.7582496625439713</v>
      </c>
    </row>
    <row r="33" ht="18" customHeight="1">
      <c r="A33" s="27" t="inlineStr">
        <is>
          <t>BU Infectious Diseases</t>
        </is>
      </c>
      <c r="B33" s="23" t="n">
        <v>7</v>
      </c>
      <c r="C33" s="24" t="n">
        <v>1479544.03</v>
      </c>
      <c r="D33" s="24" t="n">
        <v>1010479.33</v>
      </c>
      <c r="E33" s="24" t="n">
        <v>712856.7000000001</v>
      </c>
      <c r="F33" s="24" t="n">
        <v>1498512.35</v>
      </c>
      <c r="G33" s="24" t="n">
        <v>-18968.3200000003</v>
      </c>
      <c r="H33" s="119" t="n">
        <v>-0.01282038223627606</v>
      </c>
      <c r="I33" s="38" t="n">
        <v>0.6829667177934543</v>
      </c>
    </row>
    <row r="34" ht="18" customHeight="1">
      <c r="A34" s="22" t="inlineStr">
        <is>
          <t>BU Neuroscience</t>
        </is>
      </c>
      <c r="B34" s="18" t="n">
        <v>7</v>
      </c>
      <c r="C34" s="19" t="n">
        <v>1981110.32</v>
      </c>
      <c r="D34" s="19" t="n">
        <v>1440832.4</v>
      </c>
      <c r="E34" s="19" t="n">
        <v>888073.6899999999</v>
      </c>
      <c r="F34" s="19" t="n">
        <v>2081382.8</v>
      </c>
      <c r="G34" s="19" t="n">
        <v>-100272.4799999997</v>
      </c>
      <c r="H34" s="120" t="n">
        <v>-0.05061428381232184</v>
      </c>
      <c r="I34" s="34" t="n">
        <v>0.7272852932289</v>
      </c>
    </row>
    <row r="35" ht="18" customHeight="1">
      <c r="A35" s="27" t="inlineStr">
        <is>
          <t>BU Oncology</t>
        </is>
      </c>
      <c r="B35" s="23" t="n">
        <v>10</v>
      </c>
      <c r="C35" s="24" t="n">
        <v>2824120.41</v>
      </c>
      <c r="D35" s="24" t="n">
        <v>1939175.34</v>
      </c>
      <c r="E35" s="24" t="n">
        <v>1028124.45</v>
      </c>
      <c r="F35" s="24" t="n">
        <v>2906885.78</v>
      </c>
      <c r="G35" s="24" t="n">
        <v>-82765.36999999965</v>
      </c>
      <c r="H35" s="119" t="n">
        <v>-0.02930660098873038</v>
      </c>
      <c r="I35" s="38" t="n">
        <v>0.6866475427653597</v>
      </c>
    </row>
    <row r="36" ht="18" customHeight="1">
      <c r="A36" s="22" t="inlineStr">
        <is>
          <t>BU Rare Diseases</t>
        </is>
      </c>
      <c r="B36" s="18" t="n">
        <v>7</v>
      </c>
      <c r="C36" s="19" t="n">
        <v>1880301.43</v>
      </c>
      <c r="D36" s="19" t="n">
        <v>1315742.07</v>
      </c>
      <c r="E36" s="19" t="n">
        <v>765435.0100000001</v>
      </c>
      <c r="F36" s="19" t="n">
        <v>1940362.37</v>
      </c>
      <c r="G36" s="19" t="n">
        <v>-60060.93999999994</v>
      </c>
      <c r="H36" s="120" t="n">
        <v>-0.03194218705667843</v>
      </c>
      <c r="I36" s="34" t="n">
        <v>0.6997506086032173</v>
      </c>
    </row>
  </sheetData>
  <mergeCells count="6">
    <mergeCell ref="A1:M1"/>
    <mergeCell ref="A4:M4"/>
    <mergeCell ref="A21:M21"/>
    <mergeCell ref="A29:M29"/>
    <mergeCell ref="A18:B18"/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F7F7F"/>
    <outlinePr summaryBelow="1" summaryRight="1"/>
    <pageSetUpPr/>
  </sheetPr>
  <dimension ref="A1:F5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18" customWidth="1" min="5" max="5"/>
    <col width="18" customWidth="1" min="6" max="6"/>
  </cols>
  <sheetData>
    <row r="1" ht="24" customHeight="1">
      <c r="A1" s="123" t="inlineStr">
        <is>
          <t>PHARMACEUTICAL EVENTS OPERATIONS – WORKBOOK DOCUMENTATION</t>
        </is>
      </c>
    </row>
    <row r="2" ht="18" customHeight="1">
      <c r="A2" s="2" t="inlineStr">
        <is>
          <t>Version 1.0  |  Created: 24 June 2026  |  Owner: Finance &amp; PMO  |  Classification: CONFIDENTIAL</t>
        </is>
      </c>
    </row>
    <row r="4" ht="20" customHeight="1">
      <c r="A4" s="3" t="inlineStr">
        <is>
          <t>1. WORKBOOK OVERVIEW</t>
        </is>
      </c>
    </row>
    <row r="5" ht="22" customHeight="1">
      <c r="A5" s="17" t="inlineStr">
        <is>
          <t>Sheet Name</t>
        </is>
      </c>
      <c r="B5" s="17" t="inlineStr">
        <is>
          <t>Purpose</t>
        </is>
      </c>
      <c r="C5" s="124" t="n"/>
      <c r="D5" s="125" t="n"/>
    </row>
    <row r="6" ht="30" customHeight="1">
      <c r="A6" s="126" t="inlineStr">
        <is>
          <t>Dashboard Executive</t>
        </is>
      </c>
      <c r="B6" s="127" t="inlineStr">
        <is>
          <t>High-level KPI overview for C-suite and senior management. Shows budget vs forecast, event status, supplier risk, and monthly trends.</t>
        </is>
      </c>
      <c r="C6" s="128" t="n"/>
      <c r="D6" s="129" t="n"/>
      <c r="E6" s="130" t="inlineStr">
        <is>
          <t>Refresh via Power Automate. No manual editing required.</t>
        </is>
      </c>
    </row>
    <row r="7" ht="30" customHeight="1">
      <c r="A7" s="131" t="inlineStr">
        <is>
          <t>Event Master Database</t>
        </is>
      </c>
      <c r="B7" s="132" t="inlineStr">
        <is>
          <t>Master registry of all pharmaceutical events. Central reference used by all other sheets via XLOOKUP/SUMIFS. Each event has a unique Event ID.</t>
        </is>
      </c>
      <c r="C7" s="128" t="n"/>
      <c r="D7" s="129" t="n"/>
      <c r="E7" s="133" t="inlineStr">
        <is>
          <t>Event ID format: EVT-YYYY-NNN. Mandatory for all downstream modules.</t>
        </is>
      </c>
    </row>
    <row r="8" ht="30" customHeight="1">
      <c r="A8" s="126" t="inlineStr">
        <is>
          <t>Budget Planning</t>
        </is>
      </c>
      <c r="B8" s="127" t="inlineStr">
        <is>
          <t>Full budget lifecycle management including initial budget, approved budget, multiple forecast versions, committed spend, and actuals.</t>
        </is>
      </c>
      <c r="C8" s="128" t="n"/>
      <c r="D8" s="129" t="n"/>
      <c r="E8" s="130" t="inlineStr">
        <is>
          <t>Forecast versions tracked for audit. Variance calculated automatically.</t>
        </is>
      </c>
    </row>
    <row r="9" ht="30" customHeight="1">
      <c r="A9" s="131" t="inlineStr">
        <is>
          <t>Supplier Management</t>
        </is>
      </c>
      <c r="B9" s="132" t="inlineStr">
        <is>
          <t>End-to-end supplier governance: contract status, PO linkage, invoice tracking, payment status, risk classification, and overdue monitoring.</t>
        </is>
      </c>
      <c r="C9" s="128" t="n"/>
      <c r="D9" s="129" t="n"/>
      <c r="E9" s="133" t="inlineStr">
        <is>
          <t>Risk indicator drives dashboard supplier concentration analysis.</t>
        </is>
      </c>
    </row>
    <row r="10" ht="30" customHeight="1">
      <c r="A10" s="126" t="inlineStr">
        <is>
          <t>Cost Control</t>
        </is>
      </c>
      <c r="B10" s="127" t="inlineStr">
        <is>
          <t>Granular cost tracking by event and cost category. Enables variance analysis at P&amp;L line level (Airfare, Hotel, Venue, F&amp;B, AV, Agency Fees, etc.).</t>
        </is>
      </c>
      <c r="C10" s="128" t="n"/>
      <c r="D10" s="129" t="n"/>
      <c r="E10" s="130" t="inlineStr">
        <is>
          <t>Linked to Budget Planning for variance calculation. Feeds Executive Reporting.</t>
        </is>
      </c>
    </row>
    <row r="11" ht="30" customHeight="1">
      <c r="A11" s="131" t="inlineStr">
        <is>
          <t>PO Tracking</t>
        </is>
      </c>
      <c r="B11" s="132" t="inlineStr">
        <is>
          <t>Purchase order lifecycle management from request to payment. Tracks approval cycle times, invoice matching, and overdue payments.</t>
        </is>
      </c>
      <c r="C11" s="128" t="n"/>
      <c r="D11" s="129" t="n"/>
      <c r="E11" s="133" t="inlineStr">
        <is>
          <t>PO Number is foreign key linking to Supplier Management.</t>
        </is>
      </c>
    </row>
    <row r="12" ht="30" customHeight="1">
      <c r="A12" s="126" t="inlineStr">
        <is>
          <t>Executive Reporting</t>
        </is>
      </c>
      <c r="B12" s="127" t="inlineStr">
        <is>
          <t>Consolidated financial summaries by month, quarter, and business unit. Includes Budget vs Actual, Forecast Accuracy, and BU-level variance.</t>
        </is>
      </c>
      <c r="C12" s="128" t="n"/>
      <c r="D12" s="129" t="n"/>
      <c r="E12" s="130" t="inlineStr">
        <is>
          <t>Designed for monthly and quarterly business reviews.</t>
        </is>
      </c>
    </row>
    <row r="13" ht="30" customHeight="1">
      <c r="A13" s="131" t="inlineStr">
        <is>
          <t>Documentation</t>
        </is>
      </c>
      <c r="B13" s="132" t="inlineStr">
        <is>
          <t>This sheet. Describes structure, data model, business rules, naming conventions, and automation integration points.</t>
        </is>
      </c>
      <c r="C13" s="128" t="n"/>
      <c r="D13" s="129" t="n"/>
      <c r="E13" s="133" t="inlineStr">
        <is>
          <t>Update when adding new fields or changing business rules.</t>
        </is>
      </c>
    </row>
    <row r="16" ht="20" customHeight="1">
      <c r="A16" s="3" t="inlineStr">
        <is>
          <t>2. DATA MODEL &amp; KEY RELATIONSHIPS</t>
        </is>
      </c>
    </row>
    <row r="17" ht="22" customHeight="1">
      <c r="A17" s="17" t="inlineStr">
        <is>
          <t>Relationship</t>
        </is>
      </c>
      <c r="B17" s="17" t="inlineStr">
        <is>
          <t>Description</t>
        </is>
      </c>
      <c r="C17" s="124" t="n"/>
      <c r="D17" s="125" t="n"/>
    </row>
    <row r="18" ht="30" customHeight="1">
      <c r="A18" s="126" t="inlineStr">
        <is>
          <t>Event Master → Budget Planning</t>
        </is>
      </c>
      <c r="B18" s="127" t="inlineStr">
        <is>
          <t>Each event (Event ID) has exactly one budget record. Budget Planning references Event Master for event metadata.</t>
        </is>
      </c>
      <c r="C18" s="128" t="n"/>
      <c r="D18" s="129" t="n"/>
      <c r="E18" s="130" t="inlineStr">
        <is>
          <t>1:1</t>
        </is>
      </c>
    </row>
    <row r="19" ht="30" customHeight="1">
      <c r="A19" s="131" t="inlineStr">
        <is>
          <t>Event Master → Supplier Management</t>
        </is>
      </c>
      <c r="B19" s="132" t="inlineStr">
        <is>
          <t>Each event can have multiple suppliers. Supplier records reference Event ID. Enables multi-supplier-per-event tracking.</t>
        </is>
      </c>
      <c r="C19" s="128" t="n"/>
      <c r="D19" s="129" t="n"/>
      <c r="E19" s="133" t="inlineStr">
        <is>
          <t>1:N</t>
        </is>
      </c>
    </row>
    <row r="20" ht="30" customHeight="1">
      <c r="A20" s="126" t="inlineStr">
        <is>
          <t>Event Master → Cost Control</t>
        </is>
      </c>
      <c r="B20" s="127" t="inlineStr">
        <is>
          <t>Each event has cost records per cost category (up to 11 categories). Cost Control aggregates to Budget Planning totals.</t>
        </is>
      </c>
      <c r="C20" s="128" t="n"/>
      <c r="D20" s="129" t="n"/>
      <c r="E20" s="130" t="inlineStr">
        <is>
          <t>1:N</t>
        </is>
      </c>
    </row>
    <row r="21" ht="30" customHeight="1">
      <c r="A21" s="131" t="inlineStr">
        <is>
          <t>Supplier Management → PO Tracking</t>
        </is>
      </c>
      <c r="B21" s="132" t="inlineStr">
        <is>
          <t>Each supplier record generates one PO. PO Number is the linking key. Tracks full procurement lifecycle.</t>
        </is>
      </c>
      <c r="C21" s="128" t="n"/>
      <c r="D21" s="129" t="n"/>
      <c r="E21" s="133" t="inlineStr">
        <is>
          <t>1:1</t>
        </is>
      </c>
    </row>
    <row r="22" ht="30" customHeight="1">
      <c r="A22" s="126" t="inlineStr">
        <is>
          <t>Budget Planning → Executive Reporting</t>
        </is>
      </c>
      <c r="B22" s="127" t="inlineStr">
        <is>
          <t>Executive Reporting summarizes Budget Planning data by month, quarter, and business unit using SUMIFS formulas.</t>
        </is>
      </c>
      <c r="C22" s="128" t="n"/>
      <c r="D22" s="129" t="n"/>
      <c r="E22" s="130" t="inlineStr">
        <is>
          <t>N:1 (aggregation)</t>
        </is>
      </c>
    </row>
    <row r="25" ht="20" customHeight="1">
      <c r="A25" s="3" t="inlineStr">
        <is>
          <t>3. BUSINESS RULES &amp; FINANCIAL CONTROLS</t>
        </is>
      </c>
    </row>
    <row r="26" ht="22" customHeight="1">
      <c r="A26" s="17" t="inlineStr">
        <is>
          <t>Rule ID</t>
        </is>
      </c>
      <c r="B26" s="17" t="inlineStr">
        <is>
          <t>Rule Description</t>
        </is>
      </c>
      <c r="C26" s="124" t="n"/>
      <c r="D26" s="125" t="n"/>
    </row>
    <row r="27" ht="30" customHeight="1">
      <c r="A27" s="131" t="inlineStr">
        <is>
          <t>BR-001</t>
        </is>
      </c>
      <c r="B27" s="132" t="inlineStr">
        <is>
          <t>Event ID must be unique and follow format EVT-YYYY-NNN. It is the primary key across all modules.</t>
        </is>
      </c>
      <c r="C27" s="128" t="n"/>
      <c r="D27" s="129" t="n"/>
      <c r="E27" s="133" t="inlineStr">
        <is>
          <t>Data integrity</t>
        </is>
      </c>
    </row>
    <row r="28" ht="30" customHeight="1">
      <c r="A28" s="126" t="inlineStr">
        <is>
          <t>BR-002</t>
        </is>
      </c>
      <c r="B28" s="127" t="inlineStr">
        <is>
          <t>Approved Budget cannot be changed after sign-off. Changes require a new Forecast Version (FV1, FV2, FV3).</t>
        </is>
      </c>
      <c r="C28" s="128" t="n"/>
      <c r="D28" s="129" t="n"/>
      <c r="E28" s="130" t="inlineStr">
        <is>
          <t>Audit / Governance</t>
        </is>
      </c>
    </row>
    <row r="29" ht="30" customHeight="1">
      <c r="A29" s="131" t="inlineStr">
        <is>
          <t>BR-003</t>
        </is>
      </c>
      <c r="B29" s="132" t="inlineStr">
        <is>
          <t>Current Forecast is always the latest Forecast Version. Never overwrite prior versions.</t>
        </is>
      </c>
      <c r="C29" s="128" t="n"/>
      <c r="D29" s="129" t="n"/>
      <c r="E29" s="133" t="inlineStr">
        <is>
          <t>Version control</t>
        </is>
      </c>
    </row>
    <row r="30" ht="30" customHeight="1">
      <c r="A30" s="126" t="inlineStr">
        <is>
          <t>BR-004</t>
        </is>
      </c>
      <c r="B30" s="127" t="inlineStr">
        <is>
          <t>Committed spend = sum of all signed POs. Actual spend = sum of all paid/invoiced amounts.</t>
        </is>
      </c>
      <c r="C30" s="128" t="n"/>
      <c r="D30" s="129" t="n"/>
      <c r="E30" s="130" t="inlineStr">
        <is>
          <t>Financial accuracy</t>
        </is>
      </c>
    </row>
    <row r="31" ht="30" customHeight="1">
      <c r="A31" s="131" t="inlineStr">
        <is>
          <t>BR-005</t>
        </is>
      </c>
      <c r="B31" s="132" t="inlineStr">
        <is>
          <t>Variance % alert threshold: &gt;5% favorable = On Track; 5-15% adverse = At Risk; &gt;15% adverse = Over Budget.</t>
        </is>
      </c>
      <c r="C31" s="128" t="n"/>
      <c r="D31" s="129" t="n"/>
      <c r="E31" s="133" t="inlineStr">
        <is>
          <t>Escalation triggers</t>
        </is>
      </c>
    </row>
    <row r="32" ht="30" customHeight="1">
      <c r="A32" s="126" t="inlineStr">
        <is>
          <t>BR-006</t>
        </is>
      </c>
      <c r="B32" s="127" t="inlineStr">
        <is>
          <t>Supplier Risk: High = contract not signed OR overdue payment OR disputed invoice. Medium = pending contract. Low = all clear.</t>
        </is>
      </c>
      <c r="C32" s="128" t="n"/>
      <c r="D32" s="129" t="n"/>
      <c r="E32" s="130" t="inlineStr">
        <is>
          <t>Risk management</t>
        </is>
      </c>
    </row>
    <row r="33" ht="30" customHeight="1">
      <c r="A33" s="131" t="inlineStr">
        <is>
          <t>BR-007</t>
        </is>
      </c>
      <c r="B33" s="132" t="inlineStr">
        <is>
          <t>PO must be approved before services are rendered. POs without approval dates are flagged in Cost Control.</t>
        </is>
      </c>
      <c r="C33" s="128" t="n"/>
      <c r="D33" s="129" t="n"/>
      <c r="E33" s="133" t="inlineStr">
        <is>
          <t>Compliance</t>
        </is>
      </c>
    </row>
    <row r="34" ht="30" customHeight="1">
      <c r="A34" s="126" t="inlineStr">
        <is>
          <t>BR-008</t>
        </is>
      </c>
      <c r="B34" s="127" t="inlineStr">
        <is>
          <t>All amounts in EUR. Foreign currency conversion at month-end rate logged in Notes field.</t>
        </is>
      </c>
      <c r="C34" s="128" t="n"/>
      <c r="D34" s="129" t="n"/>
      <c r="E34" s="130" t="inlineStr">
        <is>
          <t>Currency control</t>
        </is>
      </c>
    </row>
    <row r="35" ht="30" customHeight="1">
      <c r="A35" s="131" t="inlineStr">
        <is>
          <t>BR-009</t>
        </is>
      </c>
      <c r="B35" s="132" t="inlineStr">
        <is>
          <t>Status progression: Planning → Confirmed → In Progress → Completed → Closed. Cancellation can occur at any stage.</t>
        </is>
      </c>
      <c r="C35" s="128" t="n"/>
      <c r="D35" s="129" t="n"/>
      <c r="E35" s="133" t="inlineStr">
        <is>
          <t>Process governance</t>
        </is>
      </c>
    </row>
    <row r="36" ht="30" customHeight="1">
      <c r="A36" s="126" t="inlineStr">
        <is>
          <t>BR-010</t>
        </is>
      </c>
      <c r="B36" s="127" t="inlineStr">
        <is>
          <t>Overdue invoices are automatically flagged when Payment Status = Overdue AND Due Date &lt; Today.</t>
        </is>
      </c>
      <c r="C36" s="128" t="n"/>
      <c r="D36" s="129" t="n"/>
      <c r="E36" s="130" t="inlineStr">
        <is>
          <t>Cash flow control</t>
        </is>
      </c>
    </row>
    <row r="39" ht="20" customHeight="1">
      <c r="A39" s="3" t="inlineStr">
        <is>
          <t>4. NAMING CONVENTIONS &amp; COLUMN STANDARDS</t>
        </is>
      </c>
    </row>
    <row r="40" ht="22" customHeight="1">
      <c r="A40" s="17" t="inlineStr">
        <is>
          <t>Convention</t>
        </is>
      </c>
      <c r="B40" s="17" t="inlineStr">
        <is>
          <t>Standard</t>
        </is>
      </c>
      <c r="C40" s="124" t="n"/>
      <c r="D40" s="125" t="n"/>
    </row>
    <row r="41" ht="30" customHeight="1">
      <c r="A41" s="131" t="inlineStr">
        <is>
          <t>Table Names</t>
        </is>
      </c>
      <c r="B41" s="132" t="inlineStr">
        <is>
          <t>tblEvents, tblBudgets, tblSuppliers, tblCosts, tblPOs. Prefix 'tbl' + CamelCase.</t>
        </is>
      </c>
      <c r="C41" s="128" t="n"/>
      <c r="D41" s="129" t="n"/>
      <c r="E41" s="133" t="inlineStr">
        <is>
          <t>Power Query / Office Scripts compatibility</t>
        </is>
      </c>
    </row>
    <row r="42" ht="30" customHeight="1">
      <c r="A42" s="126" t="inlineStr">
        <is>
          <t>Column Names</t>
        </is>
      </c>
      <c r="B42" s="127" t="inlineStr">
        <is>
          <t>PascalCase, no spaces, no special chars. E.g.: EventID, ApprovedBudget, PaymentStatus.</t>
        </is>
      </c>
      <c r="C42" s="128" t="n"/>
      <c r="D42" s="129" t="n"/>
      <c r="E42" s="130" t="inlineStr">
        <is>
          <t>Power Automate / SharePoint schema alignment</t>
        </is>
      </c>
    </row>
    <row r="43" ht="30" customHeight="1">
      <c r="A43" s="131" t="inlineStr">
        <is>
          <t>Date Fields</t>
        </is>
      </c>
      <c r="B43" s="132" t="inlineStr">
        <is>
          <t>ISO format in data layer (YYYY-MM-DD). Display format DD/MM/YYYY via cell formatting.</t>
        </is>
      </c>
      <c r="C43" s="128" t="n"/>
      <c r="D43" s="129" t="n"/>
      <c r="E43" s="133" t="inlineStr">
        <is>
          <t>International standards</t>
        </is>
      </c>
    </row>
    <row r="44" ht="30" customHeight="1">
      <c r="A44" s="126" t="inlineStr">
        <is>
          <t>Currency Fields</t>
        </is>
      </c>
      <c r="B44" s="127" t="inlineStr">
        <is>
          <t>EUR suffix in column headers. Numeric value only in cells. Format via number format string.</t>
        </is>
      </c>
      <c r="C44" s="128" t="n"/>
      <c r="D44" s="129" t="n"/>
      <c r="E44" s="130" t="inlineStr">
        <is>
          <t>Multi-currency readiness</t>
        </is>
      </c>
    </row>
    <row r="45" ht="30" customHeight="1">
      <c r="A45" s="131" t="inlineStr">
        <is>
          <t>Percentage Fields</t>
        </is>
      </c>
      <c r="B45" s="132" t="inlineStr">
        <is>
          <t>Stored as decimal (0.15 = 15%). Display via percentage number format.</t>
        </is>
      </c>
      <c r="C45" s="128" t="n"/>
      <c r="D45" s="129" t="n"/>
      <c r="E45" s="133" t="inlineStr">
        <is>
          <t>Formula compatibility</t>
        </is>
      </c>
    </row>
    <row r="46" ht="30" customHeight="1">
      <c r="A46" s="126" t="inlineStr">
        <is>
          <t>ID Fields</t>
        </is>
      </c>
      <c r="B46" s="127" t="inlineStr">
        <is>
          <t>EVT-YYYY-NNN (events), PO-YYYY-NNNN (POs), SUP-NNNN (suppliers), CC-NNNNN (cost lines).</t>
        </is>
      </c>
      <c r="C46" s="128" t="n"/>
      <c r="D46" s="129" t="n"/>
      <c r="E46" s="130" t="inlineStr">
        <is>
          <t>Traceability</t>
        </is>
      </c>
    </row>
    <row r="47" ht="30" customHeight="1">
      <c r="A47" s="131" t="inlineStr">
        <is>
          <t>Status Fields</t>
        </is>
      </c>
      <c r="B47" s="132" t="inlineStr">
        <is>
          <t>Controlled via Data Validation dropdown lists. Closed list—no free text.</t>
        </is>
      </c>
      <c r="C47" s="128" t="n"/>
      <c r="D47" s="129" t="n"/>
      <c r="E47" s="133" t="inlineStr">
        <is>
          <t>Data quality</t>
        </is>
      </c>
    </row>
    <row r="48" ht="30" customHeight="1">
      <c r="A48" s="126" t="inlineStr">
        <is>
          <t>Audit Fields</t>
        </is>
      </c>
      <c r="B48" s="127" t="inlineStr">
        <is>
          <t>CreatedDate, LastModified, RequestedBy, ApprovedBy on all transactional tables.</t>
        </is>
      </c>
      <c r="C48" s="128" t="n"/>
      <c r="D48" s="129" t="n"/>
      <c r="E48" s="130" t="inlineStr">
        <is>
          <t>SOX / audit trail</t>
        </is>
      </c>
    </row>
    <row r="51" ht="20" customHeight="1">
      <c r="A51" s="3" t="inlineStr">
        <is>
          <t>5. AUTOMATION INTEGRATION GUIDE</t>
        </is>
      </c>
    </row>
    <row r="52" ht="22" customHeight="1">
      <c r="A52" s="17" t="inlineStr">
        <is>
          <t>System</t>
        </is>
      </c>
      <c r="B52" s="17" t="inlineStr">
        <is>
          <t>Integration Description</t>
        </is>
      </c>
      <c r="C52" s="124" t="n"/>
      <c r="D52" s="125" t="n"/>
    </row>
    <row r="53" ht="30" customHeight="1">
      <c r="A53" s="131" t="inlineStr">
        <is>
          <t>Power Automate</t>
        </is>
      </c>
      <c r="B53" s="132" t="inlineStr">
        <is>
          <t>Connect to SharePoint document library. Trigger: on file modify. Action: refresh Power Query connections, send email alerts for Overdue invoices and High Risk suppliers.</t>
        </is>
      </c>
      <c r="C53" s="128" t="n"/>
      <c r="D53" s="129" t="n"/>
      <c r="E53" s="133" t="inlineStr">
        <is>
          <t>Active</t>
        </is>
      </c>
    </row>
    <row r="54" ht="30" customHeight="1">
      <c r="A54" s="126" t="inlineStr">
        <is>
          <t>SharePoint Storage</t>
        </is>
      </c>
      <c r="B54" s="127" t="inlineStr">
        <is>
          <t>Store workbook in SharePoint Online. Enable co-authoring. Set version history to 500 versions. Use document library metadata for TA and BU tagging.</t>
        </is>
      </c>
      <c r="C54" s="128" t="n"/>
      <c r="D54" s="129" t="n"/>
      <c r="E54" s="130" t="inlineStr">
        <is>
          <t>Ready</t>
        </is>
      </c>
    </row>
    <row r="55" ht="30" customHeight="1">
      <c r="A55" s="131" t="inlineStr">
        <is>
          <t>Office Scripts</t>
        </is>
      </c>
      <c r="B55" s="132" t="inlineStr">
        <is>
          <t>Script 1: Auto-populate Event ID on new row. Script 2: Set LastModified timestamp. Script 3: Flag overdue invoices. Script 4: Export Dashboard to PDF for distribution.</t>
        </is>
      </c>
      <c r="C55" s="128" t="n"/>
      <c r="D55" s="129" t="n"/>
      <c r="E55" s="133" t="inlineStr">
        <is>
          <t>Designed</t>
        </is>
      </c>
    </row>
    <row r="56" ht="30" customHeight="1">
      <c r="A56" s="126" t="inlineStr">
        <is>
          <t>Power Query</t>
        </is>
      </c>
      <c r="B56" s="127" t="inlineStr">
        <is>
          <t>All structured tables (tblEvents, tblBudgets, etc.) are Power Query ready. Refresh all connections after data imports. Use Table.TransformColumnTypes for data type enforcement.</t>
        </is>
      </c>
      <c r="C56" s="128" t="n"/>
      <c r="D56" s="129" t="n"/>
      <c r="E56" s="130" t="inlineStr">
        <is>
          <t>Ready</t>
        </is>
      </c>
    </row>
    <row r="57" ht="30" customHeight="1">
      <c r="A57" s="131" t="inlineStr">
        <is>
          <t>Power BI</t>
        </is>
      </c>
      <c r="B57" s="132" t="inlineStr">
        <is>
          <t>Connect Power BI Desktop to this workbook via Excel connector. Publish to Power BI Service for interactive executive dashboards with drill-through capability.</t>
        </is>
      </c>
      <c r="C57" s="128" t="n"/>
      <c r="D57" s="129" t="n"/>
      <c r="E57" s="133" t="inlineStr">
        <is>
          <t>Planned</t>
        </is>
      </c>
    </row>
    <row r="58" ht="30" customHeight="1">
      <c r="A58" s="126" t="inlineStr">
        <is>
          <t>Teams Integration</t>
        </is>
      </c>
      <c r="B58" s="127" t="inlineStr">
        <is>
          <t>Use Power Automate to post weekly KPI summary card to Teams channel. Include Budget vs Forecast, Active Events count, and High Risk Supplier count.</t>
        </is>
      </c>
      <c r="C58" s="128" t="n"/>
      <c r="D58" s="129" t="n"/>
      <c r="E58" s="130" t="inlineStr">
        <is>
          <t>Planned</t>
        </is>
      </c>
    </row>
  </sheetData>
  <mergeCells count="128">
    <mergeCell ref="B11:D11"/>
    <mergeCell ref="B42:D42"/>
    <mergeCell ref="B57:D57"/>
    <mergeCell ref="A43"/>
    <mergeCell ref="B44:D44"/>
    <mergeCell ref="B53:D53"/>
    <mergeCell ref="E8:F8"/>
    <mergeCell ref="B34:D34"/>
    <mergeCell ref="B28:D28"/>
    <mergeCell ref="B30:D30"/>
    <mergeCell ref="B6:D6"/>
    <mergeCell ref="B20:D20"/>
    <mergeCell ref="E34:F34"/>
    <mergeCell ref="A6"/>
    <mergeCell ref="E27:F27"/>
    <mergeCell ref="E36:F36"/>
    <mergeCell ref="B54:D54"/>
    <mergeCell ref="A51:F51"/>
    <mergeCell ref="A55"/>
    <mergeCell ref="B56:D56"/>
    <mergeCell ref="E22:F22"/>
    <mergeCell ref="E53:F53"/>
    <mergeCell ref="B43:D43"/>
    <mergeCell ref="A32"/>
    <mergeCell ref="E12:F12"/>
    <mergeCell ref="A16:F16"/>
    <mergeCell ref="E55:F55"/>
    <mergeCell ref="B8:D8"/>
    <mergeCell ref="A29"/>
    <mergeCell ref="B17:D17"/>
    <mergeCell ref="E5:F5"/>
    <mergeCell ref="E48:F48"/>
    <mergeCell ref="A13"/>
    <mergeCell ref="A44"/>
    <mergeCell ref="B10:D10"/>
    <mergeCell ref="A2:F2"/>
    <mergeCell ref="A31"/>
    <mergeCell ref="A58"/>
    <mergeCell ref="B19:D19"/>
    <mergeCell ref="B9:D9"/>
    <mergeCell ref="E40:F40"/>
    <mergeCell ref="B5:D5"/>
    <mergeCell ref="B36:D36"/>
    <mergeCell ref="B45:D45"/>
    <mergeCell ref="A7"/>
    <mergeCell ref="E26:F26"/>
    <mergeCell ref="B47:D47"/>
    <mergeCell ref="A27"/>
    <mergeCell ref="A18"/>
    <mergeCell ref="B31:D31"/>
    <mergeCell ref="B46:D46"/>
    <mergeCell ref="B21:D21"/>
    <mergeCell ref="A42"/>
    <mergeCell ref="E18:F18"/>
    <mergeCell ref="E58:F58"/>
    <mergeCell ref="A47"/>
    <mergeCell ref="B48:D48"/>
    <mergeCell ref="A22"/>
    <mergeCell ref="A35"/>
    <mergeCell ref="A20"/>
    <mergeCell ref="B13:D13"/>
    <mergeCell ref="E52:F52"/>
    <mergeCell ref="A28"/>
    <mergeCell ref="E44:F44"/>
    <mergeCell ref="E20:F20"/>
    <mergeCell ref="E29:F29"/>
    <mergeCell ref="A48"/>
    <mergeCell ref="A30"/>
    <mergeCell ref="E13:F13"/>
    <mergeCell ref="E31:F31"/>
    <mergeCell ref="E6:F6"/>
    <mergeCell ref="E46:F46"/>
    <mergeCell ref="B41:D41"/>
    <mergeCell ref="B35:D35"/>
    <mergeCell ref="A54"/>
    <mergeCell ref="A41"/>
    <mergeCell ref="A39:F39"/>
    <mergeCell ref="E57:F57"/>
    <mergeCell ref="E21:F21"/>
    <mergeCell ref="E54:F54"/>
    <mergeCell ref="E32:F32"/>
    <mergeCell ref="E7:F7"/>
    <mergeCell ref="A56"/>
    <mergeCell ref="B22:D22"/>
    <mergeCell ref="A1:F1"/>
    <mergeCell ref="E41:F41"/>
    <mergeCell ref="B12:D12"/>
    <mergeCell ref="A33"/>
    <mergeCell ref="E56:F56"/>
    <mergeCell ref="E43:F43"/>
    <mergeCell ref="A8"/>
    <mergeCell ref="A53"/>
    <mergeCell ref="E33:F33"/>
    <mergeCell ref="E42:F42"/>
    <mergeCell ref="A10"/>
    <mergeCell ref="B29:D29"/>
    <mergeCell ref="E17:F17"/>
    <mergeCell ref="A19"/>
    <mergeCell ref="E35:F35"/>
    <mergeCell ref="A34"/>
    <mergeCell ref="A9"/>
    <mergeCell ref="E10:F10"/>
    <mergeCell ref="E19:F19"/>
    <mergeCell ref="B40:D40"/>
    <mergeCell ref="E28:F28"/>
    <mergeCell ref="A4:F4"/>
    <mergeCell ref="A36"/>
    <mergeCell ref="E9:F9"/>
    <mergeCell ref="A11"/>
    <mergeCell ref="B55:D55"/>
    <mergeCell ref="A45"/>
    <mergeCell ref="B33:D33"/>
    <mergeCell ref="E30:F30"/>
    <mergeCell ref="B32:D32"/>
    <mergeCell ref="E11:F11"/>
    <mergeCell ref="B26:D26"/>
    <mergeCell ref="E45:F45"/>
    <mergeCell ref="B7:D7"/>
    <mergeCell ref="A46"/>
    <mergeCell ref="A12"/>
    <mergeCell ref="A21"/>
    <mergeCell ref="A57"/>
    <mergeCell ref="B18:D18"/>
    <mergeCell ref="B27:D27"/>
    <mergeCell ref="B58:D58"/>
    <mergeCell ref="B52:D52"/>
    <mergeCell ref="E47:F4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2026-06-24T20:24:50Z</dcterms:created>
  <dcterms:modified xsi:type="dcterms:W3CDTF">2026-06-24T20:24:53Z</dcterms:modified>
</cp:coreProperties>
</file>